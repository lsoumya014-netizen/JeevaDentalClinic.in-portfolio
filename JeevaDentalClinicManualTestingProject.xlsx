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20001_{7BFD3D8B-1399-43F5-A008-DDC522C0ABC2}" xr6:coauthVersionLast="45" xr6:coauthVersionMax="45" xr10:uidLastSave="{00000000-0000-0000-0000-000000000000}"/>
  <bookViews>
    <workbookView xWindow="-108" yWindow="-108" windowWidth="23256" windowHeight="12456" activeTab="2" xr2:uid="{00000000-000D-0000-FFFF-FFFF00000000}"/>
  </bookViews>
  <sheets>
    <sheet name="All Test Cases" sheetId="1" r:id="rId1"/>
    <sheet name="Bugs and Fixes" sheetId="2" r:id="rId2"/>
    <sheet name="Summary" sheetId="3" r:id="rId3"/>
    <sheet name="Regression Suite" sheetId="4" r:id="rId4"/>
    <sheet name="How to Use" sheetId="5" r:id="rId5"/>
    <sheet name="Testing Types Coverage" sheetId="6" r:id="rId6"/>
  </sheets>
  <definedNames>
    <definedName name="_xlnm._FilterDatabase" localSheetId="0" hidden="1">'All Test Cases'!$A$1:$M$102</definedName>
    <definedName name="_xlnm._FilterDatabase" localSheetId="1" hidden="1">'Bugs and Fixes'!$A$1:$K$8</definedName>
    <definedName name="_xlnm._FilterDatabase" localSheetId="3" hidden="1">'Regression Suite'!$A$1:$G$13</definedName>
    <definedName name="_xlnm._FilterDatabase" localSheetId="2" hidden="1">Summary!$A$1:$B$13</definedName>
    <definedName name="_xlnm._FilterDatabase" localSheetId="5" hidden="1">'Testing Types Coverage'!$A$1:$F$17</definedName>
  </definedNames>
  <calcPr calcId="191029"/>
  <fileRecoveryPr repairLoad="1"/>
</workbook>
</file>

<file path=xl/calcChain.xml><?xml version="1.0" encoding="utf-8"?>
<calcChain xmlns="http://schemas.openxmlformats.org/spreadsheetml/2006/main">
  <c r="B11" i="3" l="1"/>
  <c r="B10" i="3"/>
  <c r="B9" i="3"/>
  <c r="B8" i="3"/>
  <c r="B7" i="3"/>
</calcChain>
</file>

<file path=xl/sharedStrings.xml><?xml version="1.0" encoding="utf-8"?>
<sst xmlns="http://schemas.openxmlformats.org/spreadsheetml/2006/main" count="1254" uniqueCount="772">
  <si>
    <t>Test Case ID</t>
  </si>
  <si>
    <t>Module / Area</t>
  </si>
  <si>
    <t>Test Type</t>
  </si>
  <si>
    <t>Priority</t>
  </si>
  <si>
    <t>Preconditions</t>
  </si>
  <si>
    <t>Test Data</t>
  </si>
  <si>
    <t>Test Steps</t>
  </si>
  <si>
    <t>Expected Result</t>
  </si>
  <si>
    <t>Actual Result / Live Observation</t>
  </si>
  <si>
    <t>Status</t>
  </si>
  <si>
    <t>Defect ID</t>
  </si>
  <si>
    <t>Developer Fix / Recommendation</t>
  </si>
  <si>
    <t>Evidence / Notes</t>
  </si>
  <si>
    <t>SMK-001</t>
  </si>
  <si>
    <t>Home page</t>
  </si>
  <si>
    <t>Smoke</t>
  </si>
  <si>
    <t>Critical</t>
  </si>
  <si>
    <t>Clean browser session</t>
  </si>
  <si>
    <t>1. Open the URL. 2. Wait for the page to finish loading.</t>
  </si>
  <si>
    <t>Page loads over HTTPS without a blocking error.</t>
  </si>
  <si>
    <t>Page reached document.readyState=complete.</t>
  </si>
  <si>
    <t>Pass</t>
  </si>
  <si>
    <t>SMK-002</t>
  </si>
  <si>
    <t>High</t>
  </si>
  <si>
    <t>Home page loaded</t>
  </si>
  <si>
    <t>None</t>
  </si>
  <si>
    <t>1. Check logo, hero heading, primary CTA, phone, WhatsApp, address.</t>
  </si>
  <si>
    <t>Clinic identity and primary conversion controls are visible and readable.</t>
  </si>
  <si>
    <t>Observed in live page.</t>
  </si>
  <si>
    <t>SMK-003</t>
  </si>
  <si>
    <t>Navigation</t>
  </si>
  <si>
    <t>1. Click Book an Appointment.</t>
  </si>
  <si>
    <t>Page scrolls to or opens the booking section.</t>
  </si>
  <si>
    <t>Available as #booking link; verify scroll on each browser.</t>
  </si>
  <si>
    <t>Not Run</t>
  </si>
  <si>
    <t>Test on desktop and mobile.</t>
  </si>
  <si>
    <t>SMK-004</t>
  </si>
  <si>
    <t>1. Click About Us, Services, Before &amp; After, Reviews, Our Team, Contact.</t>
  </si>
  <si>
    <t>Each link lands on the intended section without a blank page.</t>
  </si>
  <si>
    <t>Internal targets mostly present; execute browser check.</t>
  </si>
  <si>
    <t>SMK-005</t>
  </si>
  <si>
    <t>Blog</t>
  </si>
  <si>
    <t>Medium</t>
  </si>
  <si>
    <t>Internet connection</t>
  </si>
  <si>
    <t>/blog</t>
  </si>
  <si>
    <t>1. Open /blog.</t>
  </si>
  <si>
    <t>Blog page loads without 4xx/5xx error.</t>
  </si>
  <si>
    <t>Blog page loaded; showed No articles found in fetched state.</t>
  </si>
  <si>
    <t>Confirm empty state is intentional.</t>
  </si>
  <si>
    <t>SMK-006</t>
  </si>
  <si>
    <t>Service CTA</t>
  </si>
  <si>
    <t>Each of 10 services</t>
  </si>
  <si>
    <t>1. Click Book Now for every service.</t>
  </si>
  <si>
    <t>Booking section opens and intended treatment is selected or clearly passed.</t>
  </si>
  <si>
    <t>Not submitted in production.</t>
  </si>
  <si>
    <t>Use sandbox or test data.</t>
  </si>
  <si>
    <t>SMK-007</t>
  </si>
  <si>
    <t>1. Click Enquire for every service.</t>
  </si>
  <si>
    <t>Enquiry form opens with correct treatment name.</t>
  </si>
  <si>
    <t>SAN-001</t>
  </si>
  <si>
    <t>Smile Studio</t>
  </si>
  <si>
    <t>Sanity</t>
  </si>
  <si>
    <t>Smile Studio visible</t>
  </si>
  <si>
    <t>Patient Experience filter</t>
  </si>
  <si>
    <t>1. Click Patient Experience.</t>
  </si>
  <si>
    <t>Correct cards appear or a clear intentional empty state appears.</t>
  </si>
  <si>
    <t>0 cards and no clear empty-state message.</t>
  </si>
  <si>
    <t>Fail</t>
  </si>
  <si>
    <t>BUG-001</t>
  </si>
  <si>
    <t>Add categorized cards, remove unused filter, or show an intentional empty state.</t>
  </si>
  <si>
    <t>SAN-002</t>
  </si>
  <si>
    <t>Assets</t>
  </si>
  <si>
    <t>Page fully loaded</t>
  </si>
  <si>
    <t>Gallery Preview and UPI QR</t>
  </si>
  <si>
    <t>1. Reload page. 2. Inspect both images visually.</t>
  </si>
  <si>
    <t>Both images render with non-zero dimensions.</t>
  </si>
  <si>
    <t>Both were detected with natural size 0x0.</t>
  </si>
  <si>
    <t>BUG-002; BUG-003</t>
  </si>
  <si>
    <t>Repair image URLs and verify in Chrome, Safari, Android, and iOS.</t>
  </si>
  <si>
    <t>SAN-003</t>
  </si>
  <si>
    <t>Payment actions</t>
  </si>
  <si>
    <t>Payment section visible</t>
  </si>
  <si>
    <t>UPI, Pay apps, screenshot, calendar</t>
  </si>
  <si>
    <t>1. Click each action in a payment sandbox.</t>
  </si>
  <si>
    <t>Each action opens the correct approved destination or performs its intended action.</t>
  </si>
  <si>
    <t>Several actions have href="#".</t>
  </si>
  <si>
    <t>BUG-004</t>
  </si>
  <si>
    <t>Replace placeholder anchors with tested URLs or click handlers.</t>
  </si>
  <si>
    <t>SAN-004</t>
  </si>
  <si>
    <t>Confirmation copy</t>
  </si>
  <si>
    <t>Booking sandbox available</t>
  </si>
  <si>
    <t>Valid synthetic patient</t>
  </si>
  <si>
    <t>1. Complete a sandbox booking. 2. Inspect confirmation.</t>
  </si>
  <si>
    <t>Confirmation consistently names Jeeva Dental Clinic.</t>
  </si>
  <si>
    <t>Rendered content included NEXUS Dental Care.</t>
  </si>
  <si>
    <t>BUG-005</t>
  </si>
  <si>
    <t>Centralize clinic name in configuration and update confirmation copy.</t>
  </si>
  <si>
    <t>UI-001</t>
  </si>
  <si>
    <t>Header responsive layout</t>
  </si>
  <si>
    <t>UI</t>
  </si>
  <si>
    <t>Header loaded</t>
  </si>
  <si>
    <t>Desktop/mobile widths</t>
  </si>
  <si>
    <t>Resize to 320, 375, 414, 768, 1024, 1280 px.</t>
  </si>
  <si>
    <t>No overlap, clipping, or inaccessible menu.</t>
  </si>
  <si>
    <t>UI-002</t>
  </si>
  <si>
    <t>Hero section</t>
  </si>
  <si>
    <t>Inspect hero image and appointment CTA at all widths.</t>
  </si>
  <si>
    <t>Image maintains aspect ratio and CTA remains visible without horizontal scroll.</t>
  </si>
  <si>
    <t>UI-003</t>
  </si>
  <si>
    <t>Service cards</t>
  </si>
  <si>
    <t>Services loaded</t>
  </si>
  <si>
    <t>10 service cards</t>
  </si>
  <si>
    <t>Inspect every card.</t>
  </si>
  <si>
    <t>Consistent image ratio, label, title, description, and CTA placement.</t>
  </si>
  <si>
    <t>UI-004</t>
  </si>
  <si>
    <t>Gallery filter buttons</t>
  </si>
  <si>
    <t>All five filters</t>
  </si>
  <si>
    <t>Check default, hover, focus, and selected states.</t>
  </si>
  <si>
    <t>Active state is visually distinct and accessible.</t>
  </si>
  <si>
    <t>UI-005</t>
  </si>
  <si>
    <t>Gallery grid</t>
  </si>
  <si>
    <t>All filters</t>
  </si>
  <si>
    <t>Switch filters repeatedly.</t>
  </si>
  <si>
    <t>No blank columns, stale cards, layout jumps, or hidden-card gaps.</t>
  </si>
  <si>
    <t>UI-006</t>
  </si>
  <si>
    <t>Booking steps</t>
  </si>
  <si>
    <t>Booking visible</t>
  </si>
  <si>
    <t>Steps 1 to 4</t>
  </si>
  <si>
    <t>Inspect desktop and mobile.</t>
  </si>
  <si>
    <t>Steps remain ordered and understandable.</t>
  </si>
  <si>
    <t>UI-007</t>
  </si>
  <si>
    <t>Date/time controls</t>
  </si>
  <si>
    <t>Today, tomorrow, available slot</t>
  </si>
  <si>
    <t>Inspect selected, available, unavailable, and recommended states.</t>
  </si>
  <si>
    <t>States are distinguishable by more than color.</t>
  </si>
  <si>
    <t>UI-008</t>
  </si>
  <si>
    <t>Form validation</t>
  </si>
  <si>
    <t>Booking/enquiry/review visible</t>
  </si>
  <si>
    <t>Empty form</t>
  </si>
  <si>
    <t>Submit empty forms.</t>
  </si>
  <si>
    <t>Errors are adjacent to correct field and readable.</t>
  </si>
  <si>
    <t>UI-009</t>
  </si>
  <si>
    <t>Modal dialogs</t>
  </si>
  <si>
    <t>Modal open</t>
  </si>
  <si>
    <t>Enquiry/confirmation/payment modal</t>
  </si>
  <si>
    <t>Inspect close, backdrop, Escape, and focus.</t>
  </si>
  <si>
    <t>Modal is clear, closable, and does not leak focus.</t>
  </si>
  <si>
    <t>UI-010</t>
  </si>
  <si>
    <t>Emergency floating controls</t>
  </si>
  <si>
    <t>Home loaded</t>
  </si>
  <si>
    <t>Emergency triage widget</t>
  </si>
  <si>
    <t>Scroll through page on mobile and desktop.</t>
  </si>
  <si>
    <t>Floating controls do not cover form fields or CTAs.</t>
  </si>
  <si>
    <t>UI-011</t>
  </si>
  <si>
    <t>Payment section</t>
  </si>
  <si>
    <t>Approved payment data</t>
  </si>
  <si>
    <t>Inspect amount, UPI ID, QR, instructions, and CTA.</t>
  </si>
  <si>
    <t>Information is associated, readable, and unambiguous.</t>
  </si>
  <si>
    <t>UI-012</t>
  </si>
  <si>
    <t>Typography/content</t>
  </si>
  <si>
    <t>Page loaded</t>
  </si>
  <si>
    <t>All page sections</t>
  </si>
  <si>
    <t>Check font loading, capitalization, and contrast.</t>
  </si>
  <si>
    <t>No unexpected fallback, overflow, or inconsistent copy.</t>
  </si>
  <si>
    <t>UI-013</t>
  </si>
  <si>
    <t>Images</t>
  </si>
  <si>
    <t>All images</t>
  </si>
  <si>
    <t>Inspect every image and alt text.</t>
  </si>
  <si>
    <t>Meaningful images load and have useful alternatives.</t>
  </si>
  <si>
    <t>UI-014</t>
  </si>
  <si>
    <t>Footer</t>
  </si>
  <si>
    <t>Footer links</t>
  </si>
  <si>
    <t>Scroll to footer.</t>
  </si>
  <si>
    <t>Links, hours, phone, email, and address are readable.</t>
  </si>
  <si>
    <t>UI-015</t>
  </si>
  <si>
    <t>Zoom/reflow</t>
  </si>
  <si>
    <t>200% browser zoom</t>
  </si>
  <si>
    <t>Zoom to 200% and navigate.</t>
  </si>
  <si>
    <t>No critical content or action becomes inaccessible.</t>
  </si>
  <si>
    <t>FE-001</t>
  </si>
  <si>
    <t>Hash navigation</t>
  </si>
  <si>
    <t>Frontend</t>
  </si>
  <si>
    <t>Each hash link</t>
  </si>
  <si>
    <t>Refresh at #about, #services, #smile-studio, #booking, #contact.</t>
  </si>
  <si>
    <t>Correct section loads and scroll position is sensible.</t>
  </si>
  <si>
    <t>FE-002</t>
  </si>
  <si>
    <t>Browser history</t>
  </si>
  <si>
    <t>Navigate between routes</t>
  </si>
  <si>
    <t>Home and blog</t>
  </si>
  <si>
    <t>Use Back and Forward.</t>
  </si>
  <si>
    <t>History behavior is predictable and state is not lost unexpectedly.</t>
  </si>
  <si>
    <t>FE-003</t>
  </si>
  <si>
    <t>No-JavaScript fallback</t>
  </si>
  <si>
    <t>Disable JS if possible and reload.</t>
  </si>
  <si>
    <t>Usable fallback or explicit limitation; no misleading empty shell.</t>
  </si>
  <si>
    <t>FE-004</t>
  </si>
  <si>
    <t>Slow network</t>
  </si>
  <si>
    <t>Network throttling available</t>
  </si>
  <si>
    <t>Slow 3G</t>
  </si>
  <si>
    <t>Throttle network and reload.</t>
  </si>
  <si>
    <t>Loaders resolve and failures have useful messages.</t>
  </si>
  <si>
    <t>FE-005</t>
  </si>
  <si>
    <t>Offline failure</t>
  </si>
  <si>
    <t>Network can be disconnected</t>
  </si>
  <si>
    <t>Disconnect network and use a form.</t>
  </si>
  <si>
    <t>No false success; retry/failure state appears.</t>
  </si>
  <si>
    <t>FE-006</t>
  </si>
  <si>
    <t>Double submit</t>
  </si>
  <si>
    <t>Sandbox available</t>
  </si>
  <si>
    <t>Valid sandbox data</t>
  </si>
  <si>
    <t>Double-click every submit button.</t>
  </si>
  <si>
    <t>Only one request or confirmation is produced.</t>
  </si>
  <si>
    <t>FE-007</t>
  </si>
  <si>
    <t>Form refresh</t>
  </si>
  <si>
    <t>Form is visible</t>
  </si>
  <si>
    <t>Entered synthetic data</t>
  </si>
  <si>
    <t>Enter data and refresh.</t>
  </si>
  <si>
    <t>Data-loss behavior is intentional and safe.</t>
  </si>
  <si>
    <t>FE-008</t>
  </si>
  <si>
    <t>Multi-tab isolation</t>
  </si>
  <si>
    <t>Two browser tabs available</t>
  </si>
  <si>
    <t>Two tabs</t>
  </si>
  <si>
    <t>Use different booking selections in two tabs.</t>
  </si>
  <si>
    <t>State does not leak between tabs.</t>
  </si>
  <si>
    <t>FE-009</t>
  </si>
  <si>
    <t>Console errors</t>
  </si>
  <si>
    <t>DevTools available</t>
  </si>
  <si>
    <t>Navigate and inspect browser console.</t>
  </si>
  <si>
    <t>No uncaught JavaScript errors or failed modules.</t>
  </si>
  <si>
    <t>FE-010</t>
  </si>
  <si>
    <t>Network payload</t>
  </si>
  <si>
    <t>Sandbox and DevTools available</t>
  </si>
  <si>
    <t>Sandbox APIs</t>
  </si>
  <si>
    <t>Use DevTools Network during booking/enquiry.</t>
  </si>
  <si>
    <t>Correct endpoint, method, payload, status handling, and no sensitive data in URL.</t>
  </si>
  <si>
    <t>FE-011</t>
  </si>
  <si>
    <t>Hard reload/cache</t>
  </si>
  <si>
    <t>Browser cache enabled</t>
  </si>
  <si>
    <t>Use hard reload and normal reload.</t>
  </si>
  <si>
    <t>Assets remain available and no stale broken state appears.</t>
  </si>
  <si>
    <t>BK-001</t>
  </si>
  <si>
    <t>Appointment booking</t>
  </si>
  <si>
    <t>Functional</t>
  </si>
  <si>
    <t>Empty submission</t>
  </si>
  <si>
    <t>Click Confirm Appointment Booking with no values.</t>
  </si>
  <si>
    <t>Required errors appear and no request is sent.</t>
  </si>
  <si>
    <t>BK-002</t>
  </si>
  <si>
    <t>Valid booking</t>
  </si>
  <si>
    <t>Enter valid name, phone, email, treatment, doctor, date, time and submit.</t>
  </si>
  <si>
    <t>Correct booking/payment path and acknowledgement appear.</t>
  </si>
  <si>
    <t>BK-003</t>
  </si>
  <si>
    <t>Patient name</t>
  </si>
  <si>
    <t>Eleanor Vance; O'Brien; Kannada text</t>
  </si>
  <si>
    <t>Enter names with spaces, hyphen, apostrophe, Kannada characters.</t>
  </si>
  <si>
    <t>Accepted according to business rule and displayed safely.</t>
  </si>
  <si>
    <t>BK-004</t>
  </si>
  <si>
    <t>123; &lt;script&gt;alert(1)&lt;/script&gt;</t>
  </si>
  <si>
    <t>Enter invalid/script values.</t>
  </si>
  <si>
    <t>Rejected or encoded; no script executes.</t>
  </si>
  <si>
    <t>BK-005</t>
  </si>
  <si>
    <t>Phone validation</t>
  </si>
  <si>
    <t>+917676476858</t>
  </si>
  <si>
    <t>Enter valid +91 number.</t>
  </si>
  <si>
    <t>Accepted according to approved rule.</t>
  </si>
  <si>
    <t>BK-006</t>
  </si>
  <si>
    <t>7676476858</t>
  </si>
  <si>
    <t>Enter valid 10-digit number.</t>
  </si>
  <si>
    <t>BK-007</t>
  </si>
  <si>
    <t>123; abc; whitespace; 30 digits</t>
  </si>
  <si>
    <t>Try invalid phone values.</t>
  </si>
  <si>
    <t>Rejected with useful validation message.</t>
  </si>
  <si>
    <t>BK-008</t>
  </si>
  <si>
    <t>Email validation</t>
  </si>
  <si>
    <t>test.patient@example.com</t>
  </si>
  <si>
    <t>Enter valid email.</t>
  </si>
  <si>
    <t>Accepted.</t>
  </si>
  <si>
    <t>BK-009</t>
  </si>
  <si>
    <t>test@; blank; whitespace; very long</t>
  </si>
  <si>
    <t>Try malformed values.</t>
  </si>
  <si>
    <t>Rejected or normalized correctly.</t>
  </si>
  <si>
    <t>BK-010</t>
  </si>
  <si>
    <t>Consultation mode</t>
  </si>
  <si>
    <t>in_clinic to online_video</t>
  </si>
  <si>
    <t>Switch modes.</t>
  </si>
  <si>
    <t>Fee, instructions, payment path, and confirmation change consistently.</t>
  </si>
  <si>
    <t>BK-011</t>
  </si>
  <si>
    <t>online_video to in_clinic</t>
  </si>
  <si>
    <t>Switch back.</t>
  </si>
  <si>
    <t>Online-only payment instructions disappear or are disabled.</t>
  </si>
  <si>
    <t>BK-012</t>
  </si>
  <si>
    <t>Treatment select</t>
  </si>
  <si>
    <t>All 10 treatments</t>
  </si>
  <si>
    <t>Select every treatment.</t>
  </si>
  <si>
    <t>Correct value and label retained downstream.</t>
  </si>
  <si>
    <t>BK-013</t>
  </si>
  <si>
    <t>Doctor select</t>
  </si>
  <si>
    <t>Dr Jeevan; First Available</t>
  </si>
  <si>
    <t>Select every doctor option.</t>
  </si>
  <si>
    <t>Selected doctor is retained in request and confirmation.</t>
  </si>
  <si>
    <t>BK-014</t>
  </si>
  <si>
    <t>Date availability</t>
  </si>
  <si>
    <t>Today, tomorrow, Sunday, Monday, custom date</t>
  </si>
  <si>
    <t>Select each date type.</t>
  </si>
  <si>
    <t>Past, closed, and unavailable dates are enforced.</t>
  </si>
  <si>
    <t>BK-015</t>
  </si>
  <si>
    <t>Date/time dependency</t>
  </si>
  <si>
    <t>Change date after time selection</t>
  </si>
  <si>
    <t>Select time, change date, inspect time.</t>
  </si>
  <si>
    <t>Old time is cleared if not valid for new date.</t>
  </si>
  <si>
    <t>BK-016</t>
  </si>
  <si>
    <t>Time selection</t>
  </si>
  <si>
    <t>Every available slot</t>
  </si>
  <si>
    <t>Select each slot one at a time.</t>
  </si>
  <si>
    <t>Exactly one slot is selected and submitted.</t>
  </si>
  <si>
    <t>BK-017</t>
  </si>
  <si>
    <t>Server timeout</t>
  </si>
  <si>
    <t>Sandbox/network throttle</t>
  </si>
  <si>
    <t>Submit valid booking during timeout.</t>
  </si>
  <si>
    <t>Retry guidance appears and no duplicate appointment is created.</t>
  </si>
  <si>
    <t>BK-018</t>
  </si>
  <si>
    <t>Server validation error</t>
  </si>
  <si>
    <t>Invalid synthetic payload</t>
  </si>
  <si>
    <t>Submit invalid data to sandbox.</t>
  </si>
  <si>
    <t>Field/form error appears and safe data is preserved.</t>
  </si>
  <si>
    <t>BK-019</t>
  </si>
  <si>
    <t>Booking confirmation</t>
  </si>
  <si>
    <t>Valid synthetic booking</t>
  </si>
  <si>
    <t>Complete sandbox booking.</t>
  </si>
  <si>
    <t>Correct clinic, ID, treatment, patient, date, and time appear.</t>
  </si>
  <si>
    <t>BK-020</t>
  </si>
  <si>
    <t>Refresh after booking</t>
  </si>
  <si>
    <t>Confirmation displayed</t>
  </si>
  <si>
    <t>Confirmation visible</t>
  </si>
  <si>
    <t>Refresh page.</t>
  </si>
  <si>
    <t>No duplicate booking is created.</t>
  </si>
  <si>
    <t>ENQ-001</t>
  </si>
  <si>
    <t>Treatment enquiry</t>
  </si>
  <si>
    <t>Open each Enquire button</t>
  </si>
  <si>
    <t>Click every service Enquire button.</t>
  </si>
  <si>
    <t>Correct treatment name is populated.</t>
  </si>
  <si>
    <t>ENQ-002</t>
  </si>
  <si>
    <t>Enquiry modal open</t>
  </si>
  <si>
    <t>Submit empty enquiry.</t>
  </si>
  <si>
    <t>Name and phone errors appear; no request sent.</t>
  </si>
  <si>
    <t>ENQ-003</t>
  </si>
  <si>
    <t>Valid name and phone</t>
  </si>
  <si>
    <t>Submit valid enquiry.</t>
  </si>
  <si>
    <t>Acknowledgement appears and one request is created.</t>
  </si>
  <si>
    <t>ENQ-004</t>
  </si>
  <si>
    <t>WhatsApp, Phone Call, Email</t>
  </si>
  <si>
    <t>Select each preferred reply mode and submit in sandbox.</t>
  </si>
  <si>
    <t>Selected preference is retained and used for follow-up.</t>
  </si>
  <si>
    <t>ENQ-005</t>
  </si>
  <si>
    <t>Punctuation/line breaks</t>
  </si>
  <si>
    <t>Enter optional question.</t>
  </si>
  <si>
    <t>Text is retained safely.</t>
  </si>
  <si>
    <t>ENQ-006</t>
  </si>
  <si>
    <t>Cancel action</t>
  </si>
  <si>
    <t>Click Cancel.</t>
  </si>
  <si>
    <t>Modal closes without submitting.</t>
  </si>
  <si>
    <t>ENQ-007</t>
  </si>
  <si>
    <t>Double click</t>
  </si>
  <si>
    <t>Double-click submit.</t>
  </si>
  <si>
    <t>One enquiry only.</t>
  </si>
  <si>
    <t>REV-001</t>
  </si>
  <si>
    <t>Review form</t>
  </si>
  <si>
    <t>Review section visible</t>
  </si>
  <si>
    <t>Submit with no values.</t>
  </si>
  <si>
    <t>Required errors appear.</t>
  </si>
  <si>
    <t>REV-002</t>
  </si>
  <si>
    <t>1 to 5 stars</t>
  </si>
  <si>
    <t>Select each rating.</t>
  </si>
  <si>
    <t>Selected rating is visible and submitted correctly.</t>
  </si>
  <si>
    <t>REV-003</t>
  </si>
  <si>
    <t>All treatment tags</t>
  </si>
  <si>
    <t>Select each treatment.</t>
  </si>
  <si>
    <t>Correct treatment tag retained.</t>
  </si>
  <si>
    <t>REV-004</t>
  </si>
  <si>
    <t>Blank optional dentist</t>
  </si>
  <si>
    <t>Leave dentist blank and submit valid review in sandbox.</t>
  </si>
  <si>
    <t>Form accepts blank optional field.</t>
  </si>
  <si>
    <t>REV-005</t>
  </si>
  <si>
    <t>HTML/script in feedback</t>
  </si>
  <si>
    <t>Enter markup/script.</t>
  </si>
  <si>
    <t>Content is escaped/rejected; no stored XSS.</t>
  </si>
  <si>
    <t>REV-006</t>
  </si>
  <si>
    <t>Valid synthetic review</t>
  </si>
  <si>
    <t>Submit review.</t>
  </si>
  <si>
    <t>Acknowledgement and moderation state are correct.</t>
  </si>
  <si>
    <t>EMG-001</t>
  </si>
  <si>
    <t>Emergency triage</t>
  </si>
  <si>
    <t>Open widget</t>
  </si>
  <si>
    <t>Open emergency triage.</t>
  </si>
  <si>
    <t>Panel opens promptly and does not obscure key CTA.</t>
  </si>
  <si>
    <t>EMG-002</t>
  </si>
  <si>
    <t>Triage open</t>
  </si>
  <si>
    <t>Every condition</t>
  </si>
  <si>
    <t>Select every emergency condition.</t>
  </si>
  <si>
    <t>Correct first-aid and warning text appears.</t>
  </si>
  <si>
    <t>EMG-003</t>
  </si>
  <si>
    <t>Change condition</t>
  </si>
  <si>
    <t>Click Change Condition and choose another.</t>
  </si>
  <si>
    <t>Previous state clears and new guidance replaces it.</t>
  </si>
  <si>
    <t>EMG-004</t>
  </si>
  <si>
    <t>Clinic hotline</t>
  </si>
  <si>
    <t>Click Call Hotline/Call Clinic Now.</t>
  </si>
  <si>
    <t>Correct approved number opens.</t>
  </si>
  <si>
    <t>EMG-005</t>
  </si>
  <si>
    <t>WhatsApp dispatch</t>
  </si>
  <si>
    <t>Click WhatsApp Dispatch.</t>
  </si>
  <si>
    <t>Approved WhatsApp destination and context open.</t>
  </si>
  <si>
    <t>EMG-006</t>
  </si>
  <si>
    <t>Triage request open</t>
  </si>
  <si>
    <t>Empty request</t>
  </si>
  <si>
    <t>Submit without name/phone.</t>
  </si>
  <si>
    <t>Required errors appear and no request sent.</t>
  </si>
  <si>
    <t>EMG-007</t>
  </si>
  <si>
    <t>Valid synthetic request</t>
  </si>
  <si>
    <t>Submit valid emergency request.</t>
  </si>
  <si>
    <t>Priority acknowledgement has correct patient, location, and request ID.</t>
  </si>
  <si>
    <t>EMG-008</t>
  </si>
  <si>
    <t>Acknowledgement open</t>
  </si>
  <si>
    <t>Close/reopen</t>
  </si>
  <si>
    <t>Close and reopen triage.</t>
  </si>
  <si>
    <t>No stale emergency state remains.</t>
  </si>
  <si>
    <t>PAY-001</t>
  </si>
  <si>
    <t>Payment</t>
  </si>
  <si>
    <t>Sandbox pricing matrix</t>
  </si>
  <si>
    <t>All consultation modes/treatments</t>
  </si>
  <si>
    <t>Compare displayed amount for each combination.</t>
  </si>
  <si>
    <t>Amount matches approved pricing matrix.</t>
  </si>
  <si>
    <t>PAY-002</t>
  </si>
  <si>
    <t>Approved test UPI</t>
  </si>
  <si>
    <t>UPI QR</t>
  </si>
  <si>
    <t>Scan on Android and iOS.</t>
  </si>
  <si>
    <t>QR resolves to approved UPI destination.</t>
  </si>
  <si>
    <t>PAY-003</t>
  </si>
  <si>
    <t>Approved UPI ID</t>
  </si>
  <si>
    <t>UPI copy</t>
  </si>
  <si>
    <t>Click Copy.</t>
  </si>
  <si>
    <t>Copied value exactly matches approved ID.</t>
  </si>
  <si>
    <t>PAY-004</t>
  </si>
  <si>
    <t>Supported mobile</t>
  </si>
  <si>
    <t>GPay/PhonePe/Paytm</t>
  </si>
  <si>
    <t>Click pay action.</t>
  </si>
  <si>
    <t>Correct app opens or useful fallback appears.</t>
  </si>
  <si>
    <t>PAY-005</t>
  </si>
  <si>
    <t>Screenshot share</t>
  </si>
  <si>
    <t>Click screenshot WhatsApp action.</t>
  </si>
  <si>
    <t>Approved clinic WhatsApp opens with correct context.</t>
  </si>
  <si>
    <t>PAY-006</t>
  </si>
  <si>
    <t>Calendar</t>
  </si>
  <si>
    <t>Supported calendar device</t>
  </si>
  <si>
    <t>Valid appointment</t>
  </si>
  <si>
    <t>Click Add to Calendar.</t>
  </si>
  <si>
    <t>Event contains correct date, time, timezone, clinic, address, notes.</t>
  </si>
  <si>
    <t>PAY-007</t>
  </si>
  <si>
    <t>Payment sandbox</t>
  </si>
  <si>
    <t>Payment failure/cancel</t>
  </si>
  <si>
    <t>Cancel or fail payment.</t>
  </si>
  <si>
    <t>Appointment is not falsely confirmed.</t>
  </si>
  <si>
    <t>NAV-001</t>
  </si>
  <si>
    <t>External links</t>
  </si>
  <si>
    <t>Phone/email/maps/social</t>
  </si>
  <si>
    <t>Click each contact link.</t>
  </si>
  <si>
    <t>Correct destination/number/recipient opens.</t>
  </si>
  <si>
    <t>NAV-002</t>
  </si>
  <si>
    <t>Footer social links</t>
  </si>
  <si>
    <t>Feature is available</t>
  </si>
  <si>
    <t>Footer visible</t>
  </si>
  <si>
    <t>Click Facebook, YouTube, Twitter, Instagram.</t>
  </si>
  <si>
    <t>Links point to official clinic pages, not generic homepages.</t>
  </si>
  <si>
    <t>NAV-003</t>
  </si>
  <si>
    <t>Blog categories</t>
  </si>
  <si>
    <t>Blog loaded</t>
  </si>
  <si>
    <t>Click every category filter.</t>
  </si>
  <si>
    <t>URL encoding, filtering, reset, and empty state are correct.</t>
  </si>
  <si>
    <t>A11Y-001</t>
  </si>
  <si>
    <t>Accessibility</t>
  </si>
  <si>
    <t>Keyboard navigation</t>
  </si>
  <si>
    <t>Tab through header, CTAs, gallery, forms.</t>
  </si>
  <si>
    <t>Visible focus and logical order.</t>
  </si>
  <si>
    <t>A11Y-002</t>
  </si>
  <si>
    <t>Screen reader labels</t>
  </si>
  <si>
    <t>Read all form controls.</t>
  </si>
  <si>
    <t>Every input has an accessible name.</t>
  </si>
  <si>
    <t>A11Y-003</t>
  </si>
  <si>
    <t>Modal focus</t>
  </si>
  <si>
    <t>Open/close modal using keyboard.</t>
  </si>
  <si>
    <t>Focus is trapped/returned appropriately.</t>
  </si>
  <si>
    <t>A11Y-004</t>
  </si>
  <si>
    <t>Errors</t>
  </si>
  <si>
    <t>Submit empty forms</t>
  </si>
  <si>
    <t>Errors are announced and associated with fields.</t>
  </si>
  <si>
    <t>A11Y-005</t>
  </si>
  <si>
    <t>200% zoom</t>
  </si>
  <si>
    <t>Zoom browser to 200%.</t>
  </si>
  <si>
    <t>No content/action becomes inaccessible.</t>
  </si>
  <si>
    <t>SEC-001</t>
  </si>
  <si>
    <t>Security</t>
  </si>
  <si>
    <t>All text fields</t>
  </si>
  <si>
    <t>XSS strings</t>
  </si>
  <si>
    <t>Enter HTML/script into fields and submit in sandbox.</t>
  </si>
  <si>
    <t>No script execution; output encoded.</t>
  </si>
  <si>
    <t>SEC-002</t>
  </si>
  <si>
    <t>Sandbox submission</t>
  </si>
  <si>
    <t>Sensitive URL check</t>
  </si>
  <si>
    <t>Inspect address bar and network.</t>
  </si>
  <si>
    <t>Patient/medical data not placed in URL.</t>
  </si>
  <si>
    <t>SEC-003</t>
  </si>
  <si>
    <t>Repeated requests</t>
  </si>
  <si>
    <t>Duplicate/rate limit</t>
  </si>
  <si>
    <t>Submit repeatedly in sandbox.</t>
  </si>
  <si>
    <t>Duplicate protection or rate limiting exists.</t>
  </si>
  <si>
    <t>SEC-004</t>
  </si>
  <si>
    <t>Storage check</t>
  </si>
  <si>
    <t>Inspect cookies/localStorage/sessionStorage.</t>
  </si>
  <si>
    <t>No unnecessary sensitive patient data stored client-side.</t>
  </si>
  <si>
    <t>PERF-001</t>
  </si>
  <si>
    <t>Performance</t>
  </si>
  <si>
    <t>Desktop/mobile</t>
  </si>
  <si>
    <t>Cold load</t>
  </si>
  <si>
    <t>Measure cold load on agreed network.</t>
  </si>
  <si>
    <t>Meets approved performance budget.</t>
  </si>
  <si>
    <t>PERF-002</t>
  </si>
  <si>
    <t>Inspect image sizes and loading.</t>
  </si>
  <si>
    <t>Images compressed/responsive/lazy-loaded as appropriate.</t>
  </si>
  <si>
    <t>PERF-003</t>
  </si>
  <si>
    <t>Repeated filters</t>
  </si>
  <si>
    <t>No memory leak, duplicate cards, or growing delay.</t>
  </si>
  <si>
    <t>PERF-004</t>
  </si>
  <si>
    <t>Modal controls</t>
  </si>
  <si>
    <t>Repeated modals</t>
  </si>
  <si>
    <t>Open/close modal repeatedly.</t>
  </si>
  <si>
    <t>No overlay, scroll-lock, or focus leak.</t>
  </si>
  <si>
    <t>Severity</t>
  </si>
  <si>
    <t>Module</t>
  </si>
  <si>
    <t>Bug Summary</t>
  </si>
  <si>
    <t>Steps to Reproduce</t>
  </si>
  <si>
    <t>Actual Result</t>
  </si>
  <si>
    <t>Business/User Impact</t>
  </si>
  <si>
    <t>Developer Fix</t>
  </si>
  <si>
    <t>Retest Steps</t>
  </si>
  <si>
    <t>Defect Status</t>
  </si>
  <si>
    <t>Patient Experience filter displays zero cards</t>
  </si>
  <si>
    <t>1. Open #smile-studio. 2. Click Patient Experience.</t>
  </si>
  <si>
    <t>Patient Experience cards or intentional empty state.</t>
  </si>
  <si>
    <t>Filter active but 0 cards and no clear empty-state message.</t>
  </si>
  <si>
    <t>Users may think gallery is broken or clinic lacks evidence.</t>
  </si>
  <si>
    <t>Add correctly categorized cards; or remove filter; or add clear empty state and CTA.</t>
  </si>
  <si>
    <t>Open category; inspect card count and visual state on desktop/mobile.</t>
  </si>
  <si>
    <t>Open</t>
  </si>
  <si>
    <t>BUG-002</t>
  </si>
  <si>
    <t>UPI QR image is broken</t>
  </si>
  <si>
    <t>1. Open payment instructions. 2. Inspect Scan UPI QR Code image.</t>
  </si>
  <si>
    <t>QR image renders with non-zero dimensions and encodes approved UPI data.</t>
  </si>
  <si>
    <t>Image natural size 0x0; resolved source was homepage URL.</t>
  </si>
  <si>
    <t>Patients may be unable to pay and may lose trust.</t>
  </si>
  <si>
    <t>Serve valid image asset; verify QR decode, mobile scans, HTTPS, and text fallback.</t>
  </si>
  <si>
    <t>Test Android and iOS with approved sandbox/payment process.</t>
  </si>
  <si>
    <t>BUG-003</t>
  </si>
  <si>
    <t>Gallery</t>
  </si>
  <si>
    <t>Gallery Preview image is broken</t>
  </si>
  <si>
    <t>1. Open gallery preview. 2. Inspect image.</t>
  </si>
  <si>
    <t>Preview image loads correctly.</t>
  </si>
  <si>
    <t>Broken visual content and possible modal/layout issue.</t>
  </si>
  <si>
    <t>Repair source URL; validate dimensions and modal behavior.</t>
  </si>
  <si>
    <t>Test all gallery categories and viewport widths.</t>
  </si>
  <si>
    <t>Payment/Emergency/WhatsApp/Calendar</t>
  </si>
  <si>
    <t>High-risk actions use placeholder href="#"</t>
  </si>
  <si>
    <t>1. Inspect Instant WhatsApp Enquiry, Pay via apps, screenshot share, Add to Calendar, WhatsApp Dispatch.</t>
  </si>
  <si>
    <t>Each action performs its advertised behavior.</t>
  </si>
  <si>
    <t>DOM audit found href="#" on these actions.</t>
  </si>
  <si>
    <t>Users may be redirected to top or receive no action.</t>
  </si>
  <si>
    <t>Replace placeholders with approved URLs, app intents, downloadable calendar file, or tested JS handlers; add error handling.</t>
  </si>
  <si>
    <t>Add regression check rejecting placeholder # in high-risk controls.</t>
  </si>
  <si>
    <t>Appointment confirmation</t>
  </si>
  <si>
    <t>Confirmation says NEXUS Dental Care</t>
  </si>
  <si>
    <t>1. Complete booking in sandbox. 2. Read confirmation.</t>
  </si>
  <si>
    <t>Confirmation names Jeeva Dental Clinic.</t>
  </si>
  <si>
    <t>Rendered content says NEXUS Dental Care.</t>
  </si>
  <si>
    <t>Confuses patients and reduces trust.</t>
  </si>
  <si>
    <t>Centralize brand name/configuration; update copy and add content regression test.</t>
  </si>
  <si>
    <t>Verify every confirmation/payment/emergency acknowledgement.</t>
  </si>
  <si>
    <t>BUG-006</t>
  </si>
  <si>
    <t>Medium / potentially Critical</t>
  </si>
  <si>
    <t>Booking/Payment</t>
  </si>
  <si>
    <t>Pricing and booking states appear inconsistent</t>
  </si>
  <si>
    <t>1. Inspect consultation modes and payment instructions. 2. Compare fees.</t>
  </si>
  <si>
    <t>One authoritative pricing matrix is used consistently.</t>
  </si>
  <si>
    <t>Page showed FREE in-clinic, ₹100 online video, and ₹500 payment instruction states.</t>
  </si>
  <si>
    <t>Patients may pay wrong amount or misunderstand booking.</t>
  </si>
  <si>
    <t>Define approved pricing matrix; bind UI and backend to it; test every mode/treatment combination.</t>
  </si>
  <si>
    <t>Requires clinic/product owner confirmation.</t>
  </si>
  <si>
    <t>BUG-007</t>
  </si>
  <si>
    <t>Some social links point to generic platforms</t>
  </si>
  <si>
    <t>1. Open footer. 2. Inspect Facebook, YouTube, Twitter links.</t>
  </si>
  <si>
    <t>Links point to official clinic profiles or are removed.</t>
  </si>
  <si>
    <t>Observed generic facebook.com, youtube.com, twitter.com targets in DOM inventory.</t>
  </si>
  <si>
    <t>Users may be sent to unrelated pages.</t>
  </si>
  <si>
    <t>Replace with official profile URLs or remove unused icons.</t>
  </si>
  <si>
    <t>Verify target, rel attributes, and new-tab behavior.</t>
  </si>
  <si>
    <t>Needs confirmation</t>
  </si>
  <si>
    <t>Project</t>
  </si>
  <si>
    <t>Jeeva Dental Clinic Website</t>
  </si>
  <si>
    <t>Test URL</t>
  </si>
  <si>
    <t>Focused URL</t>
  </si>
  <si>
    <t>https://jeevadentalclinic.com/#smile-studio</t>
  </si>
  <si>
    <t>Test Date</t>
  </si>
  <si>
    <t>11 September 2026</t>
  </si>
  <si>
    <t>Testing approach</t>
  </si>
  <si>
    <t>Live non-destructive manual testing plus DOM/asset/form inspection</t>
  </si>
  <si>
    <t>Production submissions</t>
  </si>
  <si>
    <t>Not performed</t>
  </si>
  <si>
    <t>Total test cases</t>
  </si>
  <si>
    <t>Passed live</t>
  </si>
  <si>
    <t>Failed live</t>
  </si>
  <si>
    <t>Not run / requires sandbox</t>
  </si>
  <si>
    <t>Open defects</t>
  </si>
  <si>
    <t>Release recommendation</t>
  </si>
  <si>
    <t>Do not release unrestricted conversion traffic until high-severity issues are fixed or accepted.</t>
  </si>
  <si>
    <t>Important limitation</t>
  </si>
  <si>
    <t>Backend delivery, payment, SMS, email, WhatsApp, calendar, and clinic scheduling require approved sandbox/test data.</t>
  </si>
  <si>
    <t>Requested testing types covered</t>
  </si>
  <si>
    <t>16 of 16</t>
  </si>
  <si>
    <t>Coverage details</t>
  </si>
  <si>
    <t>See the Testing Types Coverage sheet for execution scope and traceability.</t>
  </si>
  <si>
    <t>Regression ID</t>
  </si>
  <si>
    <t>Regression Area</t>
  </si>
  <si>
    <t>Steps</t>
  </si>
  <si>
    <t>Run Status</t>
  </si>
  <si>
    <t>Notes</t>
  </si>
  <si>
    <t>REG-001</t>
  </si>
  <si>
    <t>Home load</t>
  </si>
  <si>
    <t>Open site in clean session.</t>
  </si>
  <si>
    <t>HTTPS page loads with title and no blocking error.</t>
  </si>
  <si>
    <t>REG-002</t>
  </si>
  <si>
    <t>Primary navigation</t>
  </si>
  <si>
    <t>Click all header links and CTAs.</t>
  </si>
  <si>
    <t>Correct section/route opens.</t>
  </si>
  <si>
    <t>REG-003</t>
  </si>
  <si>
    <t>Run all five gallery filters.</t>
  </si>
  <si>
    <t>Correct cards/empty state and active state.</t>
  </si>
  <si>
    <t>Patient Experience currently empty.</t>
  </si>
  <si>
    <t>REG-004</t>
  </si>
  <si>
    <t>Inspect all meaningful images.</t>
  </si>
  <si>
    <t>All images load with correct dimensions.</t>
  </si>
  <si>
    <t>Two broken images observed.</t>
  </si>
  <si>
    <t>REG-005</t>
  </si>
  <si>
    <t>Booking validation</t>
  </si>
  <si>
    <t>Submit empty booking.</t>
  </si>
  <si>
    <t>Required errors appear; no request.</t>
  </si>
  <si>
    <t>Native validation observed.</t>
  </si>
  <si>
    <t>REG-006</t>
  </si>
  <si>
    <t>Booking sandbox</t>
  </si>
  <si>
    <t>Complete one valid booking.</t>
  </si>
  <si>
    <t>Correct confirmation values and clinic name.</t>
  </si>
  <si>
    <t>Requires sandbox.</t>
  </si>
  <si>
    <t>REG-007</t>
  </si>
  <si>
    <t>Enquiry/review</t>
  </si>
  <si>
    <t>Run empty and valid sandbox tests.</t>
  </si>
  <si>
    <t>Validation and acknowledgements correct.</t>
  </si>
  <si>
    <t>REG-008</t>
  </si>
  <si>
    <t>Emergency</t>
  </si>
  <si>
    <t>Open, change condition, call, dispatch, close.</t>
  </si>
  <si>
    <t>All destinations and states work.</t>
  </si>
  <si>
    <t>Placeholder action exists.</t>
  </si>
  <si>
    <t>REG-009</t>
  </si>
  <si>
    <t>Test QR, UPI copy, app, screenshot, calendar.</t>
  </si>
  <si>
    <t>All actions work with approved sandbox data.</t>
  </si>
  <si>
    <t>BUG-002; BUG-004</t>
  </si>
  <si>
    <t>Requires test payment flow.</t>
  </si>
  <si>
    <t>REG-010</t>
  </si>
  <si>
    <t>Keyboard, focus, labels, zoom.</t>
  </si>
  <si>
    <t>Supported accessibility checks pass.</t>
  </si>
  <si>
    <t>REG-011</t>
  </si>
  <si>
    <t>Responsive</t>
  </si>
  <si>
    <t>Repeat smoke on mobile and desktop.</t>
  </si>
  <si>
    <t>No layout or interaction regression.</t>
  </si>
  <si>
    <t>REG-012</t>
  </si>
  <si>
    <t>Console/network</t>
  </si>
  <si>
    <t>Inspect console and requests during flows.</t>
  </si>
  <si>
    <t>No uncaught errors or incorrect payloads.</t>
  </si>
  <si>
    <t>Purpose</t>
  </si>
  <si>
    <t>Copy-ready manual testing workbook for Jeeva Dental Clinic.</t>
  </si>
  <si>
    <t>All Test Cases</t>
  </si>
  <si>
    <t>Use this as the primary execution sheet. Fill Actual Result, Status, Defect ID, and Evidence/Notes.</t>
  </si>
  <si>
    <t>Bugs and Fixes</t>
  </si>
  <si>
    <t>Share this sheet with developers. After a fix, fill Defect Status and use Retest Steps.</t>
  </si>
  <si>
    <t>Regression Suite</t>
  </si>
  <si>
    <t>Run after every code, content, payment, backend, or hosting change.</t>
  </si>
  <si>
    <t>Test data warning</t>
  </si>
  <si>
    <t>Use synthetic data in staging/sandbox. Do not enter real patient or payment information without authorization.</t>
  </si>
  <si>
    <t>Status values</t>
  </si>
  <si>
    <t>Not Run, Pass, Fail, Blocked, Retest Required, Fixed, Needs Confirmation.</t>
  </si>
  <si>
    <t>Live findings</t>
  </si>
  <si>
    <t>Rows marked Fail are based on the live non-destructive checks completed on 11 September 2026.</t>
  </si>
  <si>
    <t>Copying</t>
  </si>
  <si>
    <t>Each row is independent. You can copy any row directly into Jira, TestRail, Excel, or a test-management tool.</t>
  </si>
  <si>
    <t>Requested Testing Type</t>
  </si>
  <si>
    <t>Included in Workbook</t>
  </si>
  <si>
    <t>Covered Test Case IDs / Areas</t>
  </si>
  <si>
    <t>What to Execute</t>
  </si>
  <si>
    <t>Expected Outcome</t>
  </si>
  <si>
    <t>Primary Sheet</t>
  </si>
  <si>
    <t>UI testing</t>
  </si>
  <si>
    <t>Yes</t>
  </si>
  <si>
    <t>UI-001 to UI-015; Smile Studio; booking; payment; emergency widgets</t>
  </si>
  <si>
    <t>Verify layout, spacing, typography, colors, images, controls, states, modals, and visual consistency at supported sizes.</t>
  </si>
  <si>
    <t>No clipping, overlap, broken images, unreadable content, or inconsistent interaction states.</t>
  </si>
  <si>
    <t>Frontend testing</t>
  </si>
  <si>
    <t>FE-001 to FE-011</t>
  </si>
  <si>
    <t>Verify browser-side navigation, hash routes, state changes, validation, console behavior, network errors, caching, and duplicate submission protection.</t>
  </si>
  <si>
    <t>Client-side behavior is stable, truthful, and free from uncaught errors.</t>
  </si>
  <si>
    <t>Functional testing</t>
  </si>
  <si>
    <t>SMK-001 to SMK-007; BK-001 to BK-020; ENQ; REV; EMG; PAY; NAV</t>
  </si>
  <si>
    <t>Execute each workflow with positive, negative, boundary, cancellation, retry, and failure scenarios.</t>
  </si>
  <si>
    <t>Each feature performs its documented business function correctly.</t>
  </si>
  <si>
    <t>Smoke testing</t>
  </si>
  <si>
    <t>SMK-001 to SMK-007</t>
  </si>
  <si>
    <t>Run the critical-path checks after deployment or build creation.</t>
  </si>
  <si>
    <t>The application is usable enough for deeper testing.</t>
  </si>
  <si>
    <t>Sanity testing</t>
  </si>
  <si>
    <t>SAN-001 to SAN-004</t>
  </si>
  <si>
    <t>After a targeted fix, retest only the changed area and its immediate dependencies.</t>
  </si>
  <si>
    <t>The fix works and has not caused an obvious local regression.</t>
  </si>
  <si>
    <t>Regression testing</t>
  </si>
  <si>
    <t>REG-001 to REG-012</t>
  </si>
  <si>
    <t>Run after code, content, payment, API, hosting, or configuration changes.</t>
  </si>
  <si>
    <t>Previously working critical workflows continue to work.</t>
  </si>
  <si>
    <t>Appointment booking testing</t>
  </si>
  <si>
    <t>BK-001 to BK-020</t>
  </si>
  <si>
    <t>Test modes, treatments, doctors, dates, slots, patient data, validation, duplicate clicks, failures, payment, and confirmation.</t>
  </si>
  <si>
    <t>Only valid appointments are created with correct details and pricing.</t>
  </si>
  <si>
    <t>Treatment enquiry testing</t>
  </si>
  <si>
    <t>ENQ-001 to ENQ-007</t>
  </si>
  <si>
    <t>Test every service enquiry, empty/valid input, reply preference, optional question, cancel, duplicate submit, and network failure.</t>
  </si>
  <si>
    <t>Correct treatment and patient enquiry are captured once and acknowledged correctly.</t>
  </si>
  <si>
    <t>Review form testing</t>
  </si>
  <si>
    <t>REV-001 to REV-006</t>
  </si>
  <si>
    <t>Test required fields, ratings, treatment tags, optional dentist, long text, special characters, XSS strings, moderation acknowledgement, and duplicates.</t>
  </si>
  <si>
    <t>Review data is validated, safely stored, and correctly acknowledged.</t>
  </si>
  <si>
    <t>Emergency triage testing</t>
  </si>
  <si>
    <t>EMG-001 to EMG-008</t>
  </si>
  <si>
    <t>Test condition selection, first-aid content, warnings, hotline, WhatsApp dispatch, required fields, request acknowledgement, close/reopen, and hours messaging.</t>
  </si>
  <si>
    <t>Emergency information and contact actions are accurate, safe, and reliable.</t>
  </si>
  <si>
    <t>Payment and calendar testing</t>
  </si>
  <si>
    <t>PAY-001 to PAY-007; BUG-002; BUG-004</t>
  </si>
  <si>
    <t>Use an approved sandbox to test pricing, QR, UPI copy, payment-app actions, screenshot sharing, calendar event, cancellation, timeout, and webhook delay.</t>
  </si>
  <si>
    <t>Amounts, destinations, appointment states, and calendar details are correct; no false confirmation.</t>
  </si>
  <si>
    <t>Navigation and external-link testing</t>
  </si>
  <si>
    <t>SMK-003 to SMK-005; NAV-001 to NAV-003</t>
  </si>
  <si>
    <t>Test hash navigation, blog route, phone, email, Maps, WhatsApp, Instagram, and footer social links.</t>
  </si>
  <si>
    <t>Every link opens the correct destination and no generic or placeholder link remains.</t>
  </si>
  <si>
    <t>Accessibility testing</t>
  </si>
  <si>
    <t>A11Y-001 to A11Y-005; UI-015</t>
  </si>
  <si>
    <t>Test keyboard access, visible focus, screen-reader labels, modal focus, error announcements, heading structure, contrast, reduced motion, and zoom/reflow.</t>
  </si>
  <si>
    <t>The site remains operable and understandable for users with accessibility needs.</t>
  </si>
  <si>
    <t>Responsive and compatibility testing</t>
  </si>
  <si>
    <t>UI-001 to UI-015; REG-011</t>
  </si>
  <si>
    <t>Repeat smoke and high-risk workflows on desktop, tablet, iOS Safari, Android Chrome, Firefox, Edge, Safari, touch, keyboard, and multiple viewport sizes.</t>
  </si>
  <si>
    <t>No browser- or viewport-specific layout or functional failures.</t>
  </si>
  <si>
    <t>All Test Cases / Regression Suite</t>
  </si>
  <si>
    <t>Security and privacy-oriented testing</t>
  </si>
  <si>
    <t>BK-004; REV-005; SEC-001 to SEC-004</t>
  </si>
  <si>
    <t>Test XSS strings, long input, HTTPS, sensitive data in URLs, duplicate/rate limits, storage, external links, and network payloads in an approved environment.</t>
  </si>
  <si>
    <t>Inputs are safely handled and personal/medical data is not unnecessarily exposed.</t>
  </si>
  <si>
    <t>Performance and resilience testing</t>
  </si>
  <si>
    <t>FE-004; FE-005; PERF-001 to PERF-004</t>
  </si>
  <si>
    <t>Test cold load, image weight, Slow 3G, offline behavior, repeated filters, repeated modal use, and service/API outage handling.</t>
  </si>
  <si>
    <t>The page remains responsive and gives truthful, recoverable feedback under stress.</t>
  </si>
  <si>
    <t>https://jeevadentalclinic.com/#team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</si>
</sst>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7365D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0" xfId="0" applyFont="1" applyFill="1"/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3" borderId="1" xfId="1" applyFill="1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eevadentalclinic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jeevadentalclinic.com/" TargetMode="External"/><Relationship Id="rId1" Type="http://schemas.openxmlformats.org/officeDocument/2006/relationships/hyperlink" Target="https://jeevadentalclin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showGridLines="0" workbookViewId="0">
      <pane ySplit="1" topLeftCell="A15" activePane="bottomLeft" state="frozen"/>
      <selection pane="bottomLeft" activeCell="F18" sqref="F18"/>
    </sheetView>
  </sheetViews>
  <sheetFormatPr defaultRowHeight="14.4" x14ac:dyDescent="0.3"/>
  <cols>
    <col min="1" max="1" width="16" customWidth="1"/>
    <col min="2" max="2" width="22" customWidth="1"/>
    <col min="3" max="3" width="15" customWidth="1"/>
    <col min="4" max="4" width="12" customWidth="1"/>
    <col min="5" max="6" width="28" customWidth="1"/>
    <col min="7" max="8" width="55" customWidth="1"/>
    <col min="9" max="9" width="45" customWidth="1"/>
    <col min="10" max="10" width="14" customWidth="1"/>
    <col min="11" max="11" width="16" customWidth="1"/>
    <col min="12" max="12" width="65" customWidth="1"/>
    <col min="13" max="13" width="30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5.05" customHeight="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1" t="s">
        <v>607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/>
      <c r="M2" s="2"/>
    </row>
    <row r="3" spans="1:13" ht="85.05" customHeight="1" x14ac:dyDescent="0.3">
      <c r="A3" s="3" t="s">
        <v>22</v>
      </c>
      <c r="B3" s="3" t="s">
        <v>14</v>
      </c>
      <c r="C3" s="3" t="s">
        <v>15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21</v>
      </c>
      <c r="K3" s="3"/>
      <c r="L3" s="3"/>
      <c r="M3" s="3"/>
    </row>
    <row r="4" spans="1:13" ht="85.05" customHeight="1" x14ac:dyDescent="0.3">
      <c r="A4" s="2" t="s">
        <v>29</v>
      </c>
      <c r="B4" s="2" t="s">
        <v>30</v>
      </c>
      <c r="C4" s="2" t="s">
        <v>15</v>
      </c>
      <c r="D4" s="2" t="s">
        <v>23</v>
      </c>
      <c r="E4" s="2" t="s">
        <v>24</v>
      </c>
      <c r="F4" s="2" t="s">
        <v>25</v>
      </c>
      <c r="G4" s="2" t="s">
        <v>31</v>
      </c>
      <c r="H4" s="2" t="s">
        <v>32</v>
      </c>
      <c r="I4" s="2" t="s">
        <v>33</v>
      </c>
      <c r="J4" s="2" t="s">
        <v>34</v>
      </c>
      <c r="K4" s="2"/>
      <c r="L4" s="2" t="s">
        <v>35</v>
      </c>
      <c r="M4" s="2"/>
    </row>
    <row r="5" spans="1:13" ht="85.05" customHeight="1" x14ac:dyDescent="0.3">
      <c r="A5" s="3" t="s">
        <v>36</v>
      </c>
      <c r="B5" s="3" t="s">
        <v>30</v>
      </c>
      <c r="C5" s="3" t="s">
        <v>15</v>
      </c>
      <c r="D5" s="3" t="s">
        <v>23</v>
      </c>
      <c r="E5" s="3" t="s">
        <v>24</v>
      </c>
      <c r="F5" s="3" t="s">
        <v>25</v>
      </c>
      <c r="G5" s="3" t="s">
        <v>37</v>
      </c>
      <c r="H5" s="3" t="s">
        <v>38</v>
      </c>
      <c r="I5" s="3" t="s">
        <v>39</v>
      </c>
      <c r="J5" s="3" t="s">
        <v>34</v>
      </c>
      <c r="K5" s="3"/>
      <c r="L5" s="3"/>
      <c r="M5" s="3"/>
    </row>
    <row r="6" spans="1:13" ht="85.05" customHeight="1" x14ac:dyDescent="0.3">
      <c r="A6" s="2" t="s">
        <v>40</v>
      </c>
      <c r="B6" s="2" t="s">
        <v>41</v>
      </c>
      <c r="C6" s="2" t="s">
        <v>15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21</v>
      </c>
      <c r="K6" s="2"/>
      <c r="L6" s="2" t="s">
        <v>48</v>
      </c>
      <c r="M6" s="2"/>
    </row>
    <row r="7" spans="1:13" ht="85.05" customHeight="1" x14ac:dyDescent="0.3">
      <c r="A7" s="3" t="s">
        <v>49</v>
      </c>
      <c r="B7" s="3" t="s">
        <v>50</v>
      </c>
      <c r="C7" s="3" t="s">
        <v>15</v>
      </c>
      <c r="D7" s="3" t="s">
        <v>23</v>
      </c>
      <c r="E7" s="3" t="s">
        <v>24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34</v>
      </c>
      <c r="K7" s="3"/>
      <c r="L7" s="3" t="s">
        <v>55</v>
      </c>
      <c r="M7" s="3"/>
    </row>
    <row r="8" spans="1:13" ht="85.05" customHeight="1" x14ac:dyDescent="0.3">
      <c r="A8" s="2" t="s">
        <v>56</v>
      </c>
      <c r="B8" s="2" t="s">
        <v>50</v>
      </c>
      <c r="C8" s="2" t="s">
        <v>15</v>
      </c>
      <c r="D8" s="2" t="s">
        <v>23</v>
      </c>
      <c r="E8" s="2" t="s">
        <v>24</v>
      </c>
      <c r="F8" s="2" t="s">
        <v>51</v>
      </c>
      <c r="G8" s="2" t="s">
        <v>57</v>
      </c>
      <c r="H8" s="2" t="s">
        <v>58</v>
      </c>
      <c r="I8" s="2" t="s">
        <v>54</v>
      </c>
      <c r="J8" s="2" t="s">
        <v>34</v>
      </c>
      <c r="K8" s="2"/>
      <c r="L8" s="2" t="s">
        <v>55</v>
      </c>
      <c r="M8" s="2"/>
    </row>
    <row r="9" spans="1:13" ht="85.05" customHeight="1" x14ac:dyDescent="0.3">
      <c r="A9" s="3" t="s">
        <v>59</v>
      </c>
      <c r="B9" s="3" t="s">
        <v>60</v>
      </c>
      <c r="C9" s="3" t="s">
        <v>61</v>
      </c>
      <c r="D9" s="3" t="s">
        <v>23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/>
    </row>
    <row r="10" spans="1:13" ht="85.05" customHeight="1" x14ac:dyDescent="0.3">
      <c r="A10" s="2" t="s">
        <v>70</v>
      </c>
      <c r="B10" s="2" t="s">
        <v>71</v>
      </c>
      <c r="C10" s="2" t="s">
        <v>61</v>
      </c>
      <c r="D10" s="2" t="s">
        <v>23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  <c r="J10" s="2" t="s">
        <v>67</v>
      </c>
      <c r="K10" s="2" t="s">
        <v>77</v>
      </c>
      <c r="L10" s="2" t="s">
        <v>78</v>
      </c>
      <c r="M10" s="2"/>
    </row>
    <row r="11" spans="1:13" ht="85.05" customHeight="1" x14ac:dyDescent="0.3">
      <c r="A11" s="3" t="s">
        <v>79</v>
      </c>
      <c r="B11" s="3" t="s">
        <v>80</v>
      </c>
      <c r="C11" s="3" t="s">
        <v>61</v>
      </c>
      <c r="D11" s="3" t="s">
        <v>23</v>
      </c>
      <c r="E11" s="3" t="s">
        <v>81</v>
      </c>
      <c r="F11" s="3" t="s">
        <v>82</v>
      </c>
      <c r="G11" s="3" t="s">
        <v>83</v>
      </c>
      <c r="H11" s="3" t="s">
        <v>84</v>
      </c>
      <c r="I11" s="3" t="s">
        <v>85</v>
      </c>
      <c r="J11" s="3" t="s">
        <v>67</v>
      </c>
      <c r="K11" s="3" t="s">
        <v>86</v>
      </c>
      <c r="L11" s="3" t="s">
        <v>87</v>
      </c>
      <c r="M11" s="3"/>
    </row>
    <row r="12" spans="1:13" ht="85.05" customHeight="1" x14ac:dyDescent="0.3">
      <c r="A12" s="2" t="s">
        <v>88</v>
      </c>
      <c r="B12" s="2" t="s">
        <v>89</v>
      </c>
      <c r="C12" s="2" t="s">
        <v>61</v>
      </c>
      <c r="D12" s="2" t="s">
        <v>42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67</v>
      </c>
      <c r="K12" s="2" t="s">
        <v>95</v>
      </c>
      <c r="L12" s="2" t="s">
        <v>96</v>
      </c>
      <c r="M12" s="2"/>
    </row>
    <row r="13" spans="1:13" ht="85.05" customHeight="1" x14ac:dyDescent="0.3">
      <c r="A13" s="3" t="s">
        <v>97</v>
      </c>
      <c r="B13" s="3" t="s">
        <v>98</v>
      </c>
      <c r="C13" s="3" t="s">
        <v>99</v>
      </c>
      <c r="D13" s="3" t="s">
        <v>42</v>
      </c>
      <c r="E13" s="3" t="s">
        <v>100</v>
      </c>
      <c r="F13" s="3" t="s">
        <v>101</v>
      </c>
      <c r="G13" s="3" t="s">
        <v>102</v>
      </c>
      <c r="H13" s="3" t="s">
        <v>103</v>
      </c>
      <c r="I13" s="3"/>
      <c r="J13" s="3" t="s">
        <v>34</v>
      </c>
      <c r="K13" s="3"/>
      <c r="L13" s="3"/>
      <c r="M13" s="3"/>
    </row>
    <row r="14" spans="1:13" ht="85.05" customHeight="1" x14ac:dyDescent="0.3">
      <c r="A14" s="2" t="s">
        <v>104</v>
      </c>
      <c r="B14" s="2" t="s">
        <v>105</v>
      </c>
      <c r="C14" s="2" t="s">
        <v>99</v>
      </c>
      <c r="D14" s="2" t="s">
        <v>42</v>
      </c>
      <c r="E14" s="2" t="s">
        <v>24</v>
      </c>
      <c r="F14" s="2" t="s">
        <v>101</v>
      </c>
      <c r="G14" s="2" t="s">
        <v>106</v>
      </c>
      <c r="H14" s="2" t="s">
        <v>107</v>
      </c>
      <c r="I14" s="2"/>
      <c r="J14" s="2" t="s">
        <v>34</v>
      </c>
      <c r="K14" s="2"/>
      <c r="L14" s="2"/>
      <c r="M14" s="2"/>
    </row>
    <row r="15" spans="1:13" ht="85.05" customHeight="1" x14ac:dyDescent="0.3">
      <c r="A15" s="3" t="s">
        <v>108</v>
      </c>
      <c r="B15" s="3" t="s">
        <v>109</v>
      </c>
      <c r="C15" s="3" t="s">
        <v>99</v>
      </c>
      <c r="D15" s="3" t="s">
        <v>42</v>
      </c>
      <c r="E15" s="3" t="s">
        <v>110</v>
      </c>
      <c r="F15" s="3" t="s">
        <v>111</v>
      </c>
      <c r="G15" s="3" t="s">
        <v>112</v>
      </c>
      <c r="H15" s="3" t="s">
        <v>113</v>
      </c>
      <c r="I15" s="3"/>
      <c r="J15" s="3" t="s">
        <v>34</v>
      </c>
      <c r="K15" s="3"/>
      <c r="L15" s="3"/>
      <c r="M15" s="3"/>
    </row>
    <row r="16" spans="1:13" ht="85.05" customHeight="1" x14ac:dyDescent="0.3">
      <c r="A16" s="2" t="s">
        <v>114</v>
      </c>
      <c r="B16" s="2" t="s">
        <v>115</v>
      </c>
      <c r="C16" s="2" t="s">
        <v>99</v>
      </c>
      <c r="D16" s="2" t="s">
        <v>42</v>
      </c>
      <c r="E16" s="2" t="s">
        <v>62</v>
      </c>
      <c r="F16" s="2" t="s">
        <v>116</v>
      </c>
      <c r="G16" s="2" t="s">
        <v>117</v>
      </c>
      <c r="H16" s="2" t="s">
        <v>118</v>
      </c>
      <c r="I16" s="2"/>
      <c r="J16" s="2" t="s">
        <v>34</v>
      </c>
      <c r="K16" s="2"/>
      <c r="L16" s="2"/>
      <c r="M16" s="2"/>
    </row>
    <row r="17" spans="1:13" ht="85.05" customHeight="1" x14ac:dyDescent="0.3">
      <c r="A17" s="3" t="s">
        <v>119</v>
      </c>
      <c r="B17" s="3" t="s">
        <v>120</v>
      </c>
      <c r="C17" s="3" t="s">
        <v>99</v>
      </c>
      <c r="D17" s="3" t="s">
        <v>42</v>
      </c>
      <c r="E17" s="3" t="s">
        <v>62</v>
      </c>
      <c r="F17" s="3" t="s">
        <v>121</v>
      </c>
      <c r="G17" s="3" t="s">
        <v>122</v>
      </c>
      <c r="H17" s="3" t="s">
        <v>123</v>
      </c>
      <c r="I17" s="3"/>
      <c r="J17" s="3" t="s">
        <v>34</v>
      </c>
      <c r="K17" s="3"/>
      <c r="L17" s="3"/>
      <c r="M17" s="3"/>
    </row>
    <row r="18" spans="1:13" ht="85.05" customHeight="1" x14ac:dyDescent="0.3">
      <c r="A18" s="2" t="s">
        <v>124</v>
      </c>
      <c r="B18" s="2" t="s">
        <v>125</v>
      </c>
      <c r="C18" s="2" t="s">
        <v>99</v>
      </c>
      <c r="D18" s="2" t="s">
        <v>42</v>
      </c>
      <c r="E18" s="2" t="s">
        <v>126</v>
      </c>
      <c r="F18" s="2" t="s">
        <v>127</v>
      </c>
      <c r="G18" s="2" t="s">
        <v>128</v>
      </c>
      <c r="H18" s="2" t="s">
        <v>129</v>
      </c>
      <c r="I18" s="2"/>
      <c r="J18" s="2" t="s">
        <v>34</v>
      </c>
      <c r="K18" s="2"/>
      <c r="L18" s="2"/>
      <c r="M18" s="2"/>
    </row>
    <row r="19" spans="1:13" ht="85.05" customHeight="1" x14ac:dyDescent="0.3">
      <c r="A19" s="3" t="s">
        <v>130</v>
      </c>
      <c r="B19" s="3" t="s">
        <v>131</v>
      </c>
      <c r="C19" s="3" t="s">
        <v>99</v>
      </c>
      <c r="D19" s="3" t="s">
        <v>42</v>
      </c>
      <c r="E19" s="3" t="s">
        <v>126</v>
      </c>
      <c r="F19" s="3" t="s">
        <v>132</v>
      </c>
      <c r="G19" s="3" t="s">
        <v>133</v>
      </c>
      <c r="H19" s="3" t="s">
        <v>134</v>
      </c>
      <c r="I19" s="3"/>
      <c r="J19" s="3" t="s">
        <v>34</v>
      </c>
      <c r="K19" s="3"/>
      <c r="L19" s="3"/>
      <c r="M19" s="3"/>
    </row>
    <row r="20" spans="1:13" ht="85.05" customHeight="1" x14ac:dyDescent="0.3">
      <c r="A20" s="2" t="s">
        <v>135</v>
      </c>
      <c r="B20" s="2" t="s">
        <v>136</v>
      </c>
      <c r="C20" s="2" t="s">
        <v>99</v>
      </c>
      <c r="D20" s="2" t="s">
        <v>42</v>
      </c>
      <c r="E20" s="2" t="s">
        <v>137</v>
      </c>
      <c r="F20" s="2" t="s">
        <v>138</v>
      </c>
      <c r="G20" s="2" t="s">
        <v>139</v>
      </c>
      <c r="H20" s="2" t="s">
        <v>140</v>
      </c>
      <c r="I20" s="2"/>
      <c r="J20" s="2" t="s">
        <v>34</v>
      </c>
      <c r="K20" s="2"/>
      <c r="L20" s="2"/>
      <c r="M20" s="2"/>
    </row>
    <row r="21" spans="1:13" ht="85.05" customHeight="1" x14ac:dyDescent="0.3">
      <c r="A21" s="3" t="s">
        <v>141</v>
      </c>
      <c r="B21" s="3" t="s">
        <v>142</v>
      </c>
      <c r="C21" s="3" t="s">
        <v>99</v>
      </c>
      <c r="D21" s="3" t="s">
        <v>42</v>
      </c>
      <c r="E21" s="3" t="s">
        <v>143</v>
      </c>
      <c r="F21" s="3" t="s">
        <v>144</v>
      </c>
      <c r="G21" s="3" t="s">
        <v>145</v>
      </c>
      <c r="H21" s="3" t="s">
        <v>146</v>
      </c>
      <c r="I21" s="3"/>
      <c r="J21" s="3" t="s">
        <v>34</v>
      </c>
      <c r="K21" s="3"/>
      <c r="L21" s="3"/>
      <c r="M21" s="3"/>
    </row>
    <row r="22" spans="1:13" ht="85.05" customHeight="1" x14ac:dyDescent="0.3">
      <c r="A22" s="2" t="s">
        <v>147</v>
      </c>
      <c r="B22" s="2" t="s">
        <v>148</v>
      </c>
      <c r="C22" s="2" t="s">
        <v>99</v>
      </c>
      <c r="D22" s="2" t="s">
        <v>42</v>
      </c>
      <c r="E22" s="2" t="s">
        <v>149</v>
      </c>
      <c r="F22" s="2" t="s">
        <v>150</v>
      </c>
      <c r="G22" s="2" t="s">
        <v>151</v>
      </c>
      <c r="H22" s="2" t="s">
        <v>152</v>
      </c>
      <c r="I22" s="2"/>
      <c r="J22" s="2" t="s">
        <v>34</v>
      </c>
      <c r="K22" s="2"/>
      <c r="L22" s="2"/>
      <c r="M22" s="2"/>
    </row>
    <row r="23" spans="1:13" ht="85.05" customHeight="1" x14ac:dyDescent="0.3">
      <c r="A23" s="3" t="s">
        <v>153</v>
      </c>
      <c r="B23" s="3" t="s">
        <v>154</v>
      </c>
      <c r="C23" s="3" t="s">
        <v>99</v>
      </c>
      <c r="D23" s="3" t="s">
        <v>42</v>
      </c>
      <c r="E23" s="3" t="s">
        <v>81</v>
      </c>
      <c r="F23" s="3" t="s">
        <v>155</v>
      </c>
      <c r="G23" s="3" t="s">
        <v>156</v>
      </c>
      <c r="H23" s="3" t="s">
        <v>157</v>
      </c>
      <c r="I23" s="3"/>
      <c r="J23" s="3" t="s">
        <v>34</v>
      </c>
      <c r="K23" s="3"/>
      <c r="L23" s="3"/>
      <c r="M23" s="3"/>
    </row>
    <row r="24" spans="1:13" ht="85.05" customHeight="1" x14ac:dyDescent="0.3">
      <c r="A24" s="2" t="s">
        <v>158</v>
      </c>
      <c r="B24" s="2" t="s">
        <v>159</v>
      </c>
      <c r="C24" s="2" t="s">
        <v>99</v>
      </c>
      <c r="D24" s="2" t="s">
        <v>42</v>
      </c>
      <c r="E24" s="2" t="s">
        <v>160</v>
      </c>
      <c r="F24" s="2" t="s">
        <v>161</v>
      </c>
      <c r="G24" s="2" t="s">
        <v>162</v>
      </c>
      <c r="H24" s="2" t="s">
        <v>163</v>
      </c>
      <c r="I24" s="2"/>
      <c r="J24" s="2" t="s">
        <v>34</v>
      </c>
      <c r="K24" s="2"/>
      <c r="L24" s="2"/>
      <c r="M24" s="2"/>
    </row>
    <row r="25" spans="1:13" ht="85.05" customHeight="1" x14ac:dyDescent="0.3">
      <c r="A25" s="3" t="s">
        <v>164</v>
      </c>
      <c r="B25" s="3" t="s">
        <v>165</v>
      </c>
      <c r="C25" s="3" t="s">
        <v>99</v>
      </c>
      <c r="D25" s="3" t="s">
        <v>42</v>
      </c>
      <c r="E25" s="3" t="s">
        <v>160</v>
      </c>
      <c r="F25" s="3" t="s">
        <v>166</v>
      </c>
      <c r="G25" s="3" t="s">
        <v>167</v>
      </c>
      <c r="H25" s="3" t="s">
        <v>168</v>
      </c>
      <c r="I25" s="3"/>
      <c r="J25" s="3" t="s">
        <v>34</v>
      </c>
      <c r="K25" s="3"/>
      <c r="L25" s="3"/>
      <c r="M25" s="3"/>
    </row>
    <row r="26" spans="1:13" ht="85.05" customHeight="1" x14ac:dyDescent="0.3">
      <c r="A26" s="2" t="s">
        <v>169</v>
      </c>
      <c r="B26" s="2" t="s">
        <v>170</v>
      </c>
      <c r="C26" s="2" t="s">
        <v>99</v>
      </c>
      <c r="D26" s="2" t="s">
        <v>42</v>
      </c>
      <c r="E26" s="2" t="s">
        <v>160</v>
      </c>
      <c r="F26" s="2" t="s">
        <v>171</v>
      </c>
      <c r="G26" s="2" t="s">
        <v>172</v>
      </c>
      <c r="H26" s="2" t="s">
        <v>173</v>
      </c>
      <c r="I26" s="2"/>
      <c r="J26" s="2" t="s">
        <v>34</v>
      </c>
      <c r="K26" s="2"/>
      <c r="L26" s="2"/>
      <c r="M26" s="2"/>
    </row>
    <row r="27" spans="1:13" ht="85.05" customHeight="1" x14ac:dyDescent="0.3">
      <c r="A27" s="3" t="s">
        <v>174</v>
      </c>
      <c r="B27" s="3" t="s">
        <v>175</v>
      </c>
      <c r="C27" s="3" t="s">
        <v>99</v>
      </c>
      <c r="D27" s="3" t="s">
        <v>42</v>
      </c>
      <c r="E27" s="3" t="s">
        <v>160</v>
      </c>
      <c r="F27" s="3" t="s">
        <v>176</v>
      </c>
      <c r="G27" s="3" t="s">
        <v>177</v>
      </c>
      <c r="H27" s="3" t="s">
        <v>178</v>
      </c>
      <c r="I27" s="3"/>
      <c r="J27" s="3" t="s">
        <v>34</v>
      </c>
      <c r="K27" s="3"/>
      <c r="L27" s="3"/>
      <c r="M27" s="3"/>
    </row>
    <row r="28" spans="1:13" ht="85.05" customHeight="1" x14ac:dyDescent="0.3">
      <c r="A28" s="2" t="s">
        <v>179</v>
      </c>
      <c r="B28" s="2" t="s">
        <v>180</v>
      </c>
      <c r="C28" s="2" t="s">
        <v>181</v>
      </c>
      <c r="D28" s="2" t="s">
        <v>42</v>
      </c>
      <c r="E28" s="2" t="s">
        <v>160</v>
      </c>
      <c r="F28" s="2" t="s">
        <v>182</v>
      </c>
      <c r="G28" s="2" t="s">
        <v>183</v>
      </c>
      <c r="H28" s="2" t="s">
        <v>184</v>
      </c>
      <c r="I28" s="2"/>
      <c r="J28" s="2" t="s">
        <v>34</v>
      </c>
      <c r="K28" s="2"/>
      <c r="L28" s="2"/>
      <c r="M28" s="2"/>
    </row>
    <row r="29" spans="1:13" ht="85.05" customHeight="1" x14ac:dyDescent="0.3">
      <c r="A29" s="3" t="s">
        <v>185</v>
      </c>
      <c r="B29" s="3" t="s">
        <v>186</v>
      </c>
      <c r="C29" s="3" t="s">
        <v>181</v>
      </c>
      <c r="D29" s="3" t="s">
        <v>42</v>
      </c>
      <c r="E29" s="3" t="s">
        <v>187</v>
      </c>
      <c r="F29" s="3" t="s">
        <v>188</v>
      </c>
      <c r="G29" s="3" t="s">
        <v>189</v>
      </c>
      <c r="H29" s="3" t="s">
        <v>190</v>
      </c>
      <c r="I29" s="3"/>
      <c r="J29" s="3" t="s">
        <v>34</v>
      </c>
      <c r="K29" s="3"/>
      <c r="L29" s="3"/>
      <c r="M29" s="3"/>
    </row>
    <row r="30" spans="1:13" ht="85.05" customHeight="1" x14ac:dyDescent="0.3">
      <c r="A30" s="2" t="s">
        <v>191</v>
      </c>
      <c r="B30" s="2" t="s">
        <v>192</v>
      </c>
      <c r="C30" s="2" t="s">
        <v>181</v>
      </c>
      <c r="D30" s="2" t="s">
        <v>42</v>
      </c>
      <c r="E30" s="2" t="s">
        <v>160</v>
      </c>
      <c r="F30" s="2" t="s">
        <v>25</v>
      </c>
      <c r="G30" s="2" t="s">
        <v>193</v>
      </c>
      <c r="H30" s="2" t="s">
        <v>194</v>
      </c>
      <c r="I30" s="2"/>
      <c r="J30" s="2" t="s">
        <v>34</v>
      </c>
      <c r="K30" s="2"/>
      <c r="L30" s="2"/>
      <c r="M30" s="2"/>
    </row>
    <row r="31" spans="1:13" ht="85.05" customHeight="1" x14ac:dyDescent="0.3">
      <c r="A31" s="3" t="s">
        <v>195</v>
      </c>
      <c r="B31" s="3" t="s">
        <v>196</v>
      </c>
      <c r="C31" s="3" t="s">
        <v>181</v>
      </c>
      <c r="D31" s="3" t="s">
        <v>42</v>
      </c>
      <c r="E31" s="3" t="s">
        <v>197</v>
      </c>
      <c r="F31" s="3" t="s">
        <v>198</v>
      </c>
      <c r="G31" s="3" t="s">
        <v>199</v>
      </c>
      <c r="H31" s="3" t="s">
        <v>200</v>
      </c>
      <c r="I31" s="3"/>
      <c r="J31" s="3" t="s">
        <v>34</v>
      </c>
      <c r="K31" s="3"/>
      <c r="L31" s="3"/>
      <c r="M31" s="3"/>
    </row>
    <row r="32" spans="1:13" ht="85.05" customHeight="1" x14ac:dyDescent="0.3">
      <c r="A32" s="2" t="s">
        <v>201</v>
      </c>
      <c r="B32" s="2" t="s">
        <v>202</v>
      </c>
      <c r="C32" s="2" t="s">
        <v>181</v>
      </c>
      <c r="D32" s="2" t="s">
        <v>23</v>
      </c>
      <c r="E32" s="2" t="s">
        <v>203</v>
      </c>
      <c r="F32" s="2" t="s">
        <v>160</v>
      </c>
      <c r="G32" s="2" t="s">
        <v>204</v>
      </c>
      <c r="H32" s="2" t="s">
        <v>205</v>
      </c>
      <c r="I32" s="2"/>
      <c r="J32" s="2" t="s">
        <v>34</v>
      </c>
      <c r="K32" s="2"/>
      <c r="L32" s="2"/>
      <c r="M32" s="2"/>
    </row>
    <row r="33" spans="1:13" ht="85.05" customHeight="1" x14ac:dyDescent="0.3">
      <c r="A33" s="3" t="s">
        <v>206</v>
      </c>
      <c r="B33" s="3" t="s">
        <v>207</v>
      </c>
      <c r="C33" s="3" t="s">
        <v>181</v>
      </c>
      <c r="D33" s="3" t="s">
        <v>23</v>
      </c>
      <c r="E33" s="3" t="s">
        <v>208</v>
      </c>
      <c r="F33" s="3" t="s">
        <v>209</v>
      </c>
      <c r="G33" s="3" t="s">
        <v>210</v>
      </c>
      <c r="H33" s="3" t="s">
        <v>211</v>
      </c>
      <c r="I33" s="3"/>
      <c r="J33" s="3" t="s">
        <v>34</v>
      </c>
      <c r="K33" s="3"/>
      <c r="L33" s="3"/>
      <c r="M33" s="3"/>
    </row>
    <row r="34" spans="1:13" ht="85.05" customHeight="1" x14ac:dyDescent="0.3">
      <c r="A34" s="2" t="s">
        <v>212</v>
      </c>
      <c r="B34" s="2" t="s">
        <v>213</v>
      </c>
      <c r="C34" s="2" t="s">
        <v>181</v>
      </c>
      <c r="D34" s="2" t="s">
        <v>42</v>
      </c>
      <c r="E34" s="2" t="s">
        <v>214</v>
      </c>
      <c r="F34" s="2" t="s">
        <v>215</v>
      </c>
      <c r="G34" s="2" t="s">
        <v>216</v>
      </c>
      <c r="H34" s="2" t="s">
        <v>217</v>
      </c>
      <c r="I34" s="2"/>
      <c r="J34" s="2" t="s">
        <v>34</v>
      </c>
      <c r="K34" s="2"/>
      <c r="L34" s="2"/>
      <c r="M34" s="2"/>
    </row>
    <row r="35" spans="1:13" ht="85.05" customHeight="1" x14ac:dyDescent="0.3">
      <c r="A35" s="3" t="s">
        <v>218</v>
      </c>
      <c r="B35" s="3" t="s">
        <v>219</v>
      </c>
      <c r="C35" s="3" t="s">
        <v>181</v>
      </c>
      <c r="D35" s="3" t="s">
        <v>42</v>
      </c>
      <c r="E35" s="3" t="s">
        <v>220</v>
      </c>
      <c r="F35" s="3" t="s">
        <v>221</v>
      </c>
      <c r="G35" s="3" t="s">
        <v>222</v>
      </c>
      <c r="H35" s="3" t="s">
        <v>223</v>
      </c>
      <c r="I35" s="3"/>
      <c r="J35" s="3" t="s">
        <v>34</v>
      </c>
      <c r="K35" s="3"/>
      <c r="L35" s="3"/>
      <c r="M35" s="3"/>
    </row>
    <row r="36" spans="1:13" ht="85.05" customHeight="1" x14ac:dyDescent="0.3">
      <c r="A36" s="2" t="s">
        <v>224</v>
      </c>
      <c r="B36" s="2" t="s">
        <v>225</v>
      </c>
      <c r="C36" s="2" t="s">
        <v>181</v>
      </c>
      <c r="D36" s="2" t="s">
        <v>42</v>
      </c>
      <c r="E36" s="2" t="s">
        <v>226</v>
      </c>
      <c r="F36" s="2" t="s">
        <v>160</v>
      </c>
      <c r="G36" s="2" t="s">
        <v>227</v>
      </c>
      <c r="H36" s="2" t="s">
        <v>228</v>
      </c>
      <c r="I36" s="2"/>
      <c r="J36" s="2" t="s">
        <v>34</v>
      </c>
      <c r="K36" s="2"/>
      <c r="L36" s="2"/>
      <c r="M36" s="2"/>
    </row>
    <row r="37" spans="1:13" ht="85.05" customHeight="1" x14ac:dyDescent="0.3">
      <c r="A37" s="3" t="s">
        <v>229</v>
      </c>
      <c r="B37" s="3" t="s">
        <v>230</v>
      </c>
      <c r="C37" s="3" t="s">
        <v>181</v>
      </c>
      <c r="D37" s="3" t="s">
        <v>23</v>
      </c>
      <c r="E37" s="3" t="s">
        <v>231</v>
      </c>
      <c r="F37" s="3" t="s">
        <v>232</v>
      </c>
      <c r="G37" s="3" t="s">
        <v>233</v>
      </c>
      <c r="H37" s="3" t="s">
        <v>234</v>
      </c>
      <c r="I37" s="3"/>
      <c r="J37" s="3" t="s">
        <v>34</v>
      </c>
      <c r="K37" s="3"/>
      <c r="L37" s="3"/>
      <c r="M37" s="3"/>
    </row>
    <row r="38" spans="1:13" ht="85.05" customHeight="1" x14ac:dyDescent="0.3">
      <c r="A38" s="2" t="s">
        <v>235</v>
      </c>
      <c r="B38" s="2" t="s">
        <v>236</v>
      </c>
      <c r="C38" s="2" t="s">
        <v>181</v>
      </c>
      <c r="D38" s="2" t="s">
        <v>42</v>
      </c>
      <c r="E38" s="2" t="s">
        <v>237</v>
      </c>
      <c r="F38" s="2" t="s">
        <v>160</v>
      </c>
      <c r="G38" s="2" t="s">
        <v>238</v>
      </c>
      <c r="H38" s="2" t="s">
        <v>239</v>
      </c>
      <c r="I38" s="2"/>
      <c r="J38" s="2" t="s">
        <v>34</v>
      </c>
      <c r="K38" s="2"/>
      <c r="L38" s="2"/>
      <c r="M38" s="2"/>
    </row>
    <row r="39" spans="1:13" ht="85.05" customHeight="1" x14ac:dyDescent="0.3">
      <c r="A39" s="3" t="s">
        <v>240</v>
      </c>
      <c r="B39" s="3" t="s">
        <v>241</v>
      </c>
      <c r="C39" s="3" t="s">
        <v>242</v>
      </c>
      <c r="D39" s="3" t="s">
        <v>23</v>
      </c>
      <c r="E39" s="3" t="s">
        <v>126</v>
      </c>
      <c r="F39" s="3" t="s">
        <v>243</v>
      </c>
      <c r="G39" s="3" t="s">
        <v>244</v>
      </c>
      <c r="H39" s="3" t="s">
        <v>245</v>
      </c>
      <c r="I39" s="3"/>
      <c r="J39" s="3" t="s">
        <v>34</v>
      </c>
      <c r="K39" s="3"/>
      <c r="L39" s="3"/>
      <c r="M39" s="3"/>
    </row>
    <row r="40" spans="1:13" ht="85.05" customHeight="1" x14ac:dyDescent="0.3">
      <c r="A40" s="2" t="s">
        <v>246</v>
      </c>
      <c r="B40" s="2" t="s">
        <v>241</v>
      </c>
      <c r="C40" s="2" t="s">
        <v>242</v>
      </c>
      <c r="D40" s="2" t="s">
        <v>16</v>
      </c>
      <c r="E40" s="2" t="s">
        <v>208</v>
      </c>
      <c r="F40" s="2" t="s">
        <v>247</v>
      </c>
      <c r="G40" s="2" t="s">
        <v>248</v>
      </c>
      <c r="H40" s="2" t="s">
        <v>249</v>
      </c>
      <c r="I40" s="2"/>
      <c r="J40" s="2" t="s">
        <v>34</v>
      </c>
      <c r="K40" s="2"/>
      <c r="L40" s="2"/>
      <c r="M40" s="2"/>
    </row>
    <row r="41" spans="1:13" ht="85.05" customHeight="1" x14ac:dyDescent="0.3">
      <c r="A41" s="3" t="s">
        <v>250</v>
      </c>
      <c r="B41" s="3" t="s">
        <v>251</v>
      </c>
      <c r="C41" s="3" t="s">
        <v>242</v>
      </c>
      <c r="D41" s="3" t="s">
        <v>23</v>
      </c>
      <c r="E41" s="3" t="s">
        <v>126</v>
      </c>
      <c r="F41" s="3" t="s">
        <v>252</v>
      </c>
      <c r="G41" s="3" t="s">
        <v>253</v>
      </c>
      <c r="H41" s="3" t="s">
        <v>254</v>
      </c>
      <c r="I41" s="3"/>
      <c r="J41" s="3" t="s">
        <v>34</v>
      </c>
      <c r="K41" s="3"/>
      <c r="L41" s="3"/>
      <c r="M41" s="3"/>
    </row>
    <row r="42" spans="1:13" ht="85.05" customHeight="1" x14ac:dyDescent="0.3">
      <c r="A42" s="2" t="s">
        <v>255</v>
      </c>
      <c r="B42" s="2" t="s">
        <v>251</v>
      </c>
      <c r="C42" s="2" t="s">
        <v>242</v>
      </c>
      <c r="D42" s="2" t="s">
        <v>23</v>
      </c>
      <c r="E42" s="2" t="s">
        <v>126</v>
      </c>
      <c r="F42" s="2" t="s">
        <v>256</v>
      </c>
      <c r="G42" s="2" t="s">
        <v>257</v>
      </c>
      <c r="H42" s="2" t="s">
        <v>258</v>
      </c>
      <c r="I42" s="2"/>
      <c r="J42" s="2" t="s">
        <v>34</v>
      </c>
      <c r="K42" s="2"/>
      <c r="L42" s="2"/>
      <c r="M42" s="2"/>
    </row>
    <row r="43" spans="1:13" ht="85.05" customHeight="1" x14ac:dyDescent="0.3">
      <c r="A43" s="3" t="s">
        <v>259</v>
      </c>
      <c r="B43" s="3" t="s">
        <v>260</v>
      </c>
      <c r="C43" s="3" t="s">
        <v>242</v>
      </c>
      <c r="D43" s="3" t="s">
        <v>23</v>
      </c>
      <c r="E43" s="3" t="s">
        <v>126</v>
      </c>
      <c r="F43" s="3" t="s">
        <v>261</v>
      </c>
      <c r="G43" s="3" t="s">
        <v>262</v>
      </c>
      <c r="H43" s="3" t="s">
        <v>263</v>
      </c>
      <c r="I43" s="3"/>
      <c r="J43" s="3" t="s">
        <v>34</v>
      </c>
      <c r="K43" s="3"/>
      <c r="L43" s="3"/>
      <c r="M43" s="3"/>
    </row>
    <row r="44" spans="1:13" ht="85.05" customHeight="1" x14ac:dyDescent="0.3">
      <c r="A44" s="2" t="s">
        <v>264</v>
      </c>
      <c r="B44" s="2" t="s">
        <v>260</v>
      </c>
      <c r="C44" s="2" t="s">
        <v>242</v>
      </c>
      <c r="D44" s="2" t="s">
        <v>23</v>
      </c>
      <c r="E44" s="2" t="s">
        <v>126</v>
      </c>
      <c r="F44" s="2" t="s">
        <v>265</v>
      </c>
      <c r="G44" s="2" t="s">
        <v>266</v>
      </c>
      <c r="H44" s="2" t="s">
        <v>263</v>
      </c>
      <c r="I44" s="2"/>
      <c r="J44" s="2" t="s">
        <v>34</v>
      </c>
      <c r="K44" s="2"/>
      <c r="L44" s="2"/>
      <c r="M44" s="2"/>
    </row>
    <row r="45" spans="1:13" ht="85.05" customHeight="1" x14ac:dyDescent="0.3">
      <c r="A45" s="3" t="s">
        <v>267</v>
      </c>
      <c r="B45" s="3" t="s">
        <v>260</v>
      </c>
      <c r="C45" s="3" t="s">
        <v>242</v>
      </c>
      <c r="D45" s="3" t="s">
        <v>23</v>
      </c>
      <c r="E45" s="3" t="s">
        <v>126</v>
      </c>
      <c r="F45" s="3" t="s">
        <v>268</v>
      </c>
      <c r="G45" s="3" t="s">
        <v>269</v>
      </c>
      <c r="H45" s="3" t="s">
        <v>270</v>
      </c>
      <c r="I45" s="3"/>
      <c r="J45" s="3" t="s">
        <v>34</v>
      </c>
      <c r="K45" s="3"/>
      <c r="L45" s="3"/>
      <c r="M45" s="3"/>
    </row>
    <row r="46" spans="1:13" ht="85.05" customHeight="1" x14ac:dyDescent="0.3">
      <c r="A46" s="2" t="s">
        <v>271</v>
      </c>
      <c r="B46" s="2" t="s">
        <v>272</v>
      </c>
      <c r="C46" s="2" t="s">
        <v>242</v>
      </c>
      <c r="D46" s="2" t="s">
        <v>23</v>
      </c>
      <c r="E46" s="2" t="s">
        <v>126</v>
      </c>
      <c r="F46" s="2" t="s">
        <v>273</v>
      </c>
      <c r="G46" s="2" t="s">
        <v>274</v>
      </c>
      <c r="H46" s="2" t="s">
        <v>275</v>
      </c>
      <c r="I46" s="2"/>
      <c r="J46" s="2" t="s">
        <v>34</v>
      </c>
      <c r="K46" s="2"/>
      <c r="L46" s="2"/>
      <c r="M46" s="2"/>
    </row>
    <row r="47" spans="1:13" ht="85.05" customHeight="1" x14ac:dyDescent="0.3">
      <c r="A47" s="3" t="s">
        <v>276</v>
      </c>
      <c r="B47" s="3" t="s">
        <v>272</v>
      </c>
      <c r="C47" s="3" t="s">
        <v>242</v>
      </c>
      <c r="D47" s="3" t="s">
        <v>23</v>
      </c>
      <c r="E47" s="3" t="s">
        <v>126</v>
      </c>
      <c r="F47" s="3" t="s">
        <v>277</v>
      </c>
      <c r="G47" s="3" t="s">
        <v>278</v>
      </c>
      <c r="H47" s="3" t="s">
        <v>279</v>
      </c>
      <c r="I47" s="3"/>
      <c r="J47" s="3" t="s">
        <v>34</v>
      </c>
      <c r="K47" s="3"/>
      <c r="L47" s="3"/>
      <c r="M47" s="3"/>
    </row>
    <row r="48" spans="1:13" ht="85.05" customHeight="1" x14ac:dyDescent="0.3">
      <c r="A48" s="2" t="s">
        <v>280</v>
      </c>
      <c r="B48" s="2" t="s">
        <v>281</v>
      </c>
      <c r="C48" s="2" t="s">
        <v>242</v>
      </c>
      <c r="D48" s="2" t="s">
        <v>23</v>
      </c>
      <c r="E48" s="2" t="s">
        <v>126</v>
      </c>
      <c r="F48" s="2" t="s">
        <v>282</v>
      </c>
      <c r="G48" s="2" t="s">
        <v>283</v>
      </c>
      <c r="H48" s="2" t="s">
        <v>284</v>
      </c>
      <c r="I48" s="2"/>
      <c r="J48" s="2" t="s">
        <v>34</v>
      </c>
      <c r="K48" s="2"/>
      <c r="L48" s="2"/>
      <c r="M48" s="2"/>
    </row>
    <row r="49" spans="1:13" ht="85.05" customHeight="1" x14ac:dyDescent="0.3">
      <c r="A49" s="3" t="s">
        <v>285</v>
      </c>
      <c r="B49" s="3" t="s">
        <v>281</v>
      </c>
      <c r="C49" s="3" t="s">
        <v>242</v>
      </c>
      <c r="D49" s="3" t="s">
        <v>23</v>
      </c>
      <c r="E49" s="3" t="s">
        <v>126</v>
      </c>
      <c r="F49" s="3" t="s">
        <v>286</v>
      </c>
      <c r="G49" s="3" t="s">
        <v>287</v>
      </c>
      <c r="H49" s="3" t="s">
        <v>288</v>
      </c>
      <c r="I49" s="3"/>
      <c r="J49" s="3" t="s">
        <v>34</v>
      </c>
      <c r="K49" s="3"/>
      <c r="L49" s="3"/>
      <c r="M49" s="3"/>
    </row>
    <row r="50" spans="1:13" ht="85.05" customHeight="1" x14ac:dyDescent="0.3">
      <c r="A50" s="2" t="s">
        <v>289</v>
      </c>
      <c r="B50" s="2" t="s">
        <v>290</v>
      </c>
      <c r="C50" s="2" t="s">
        <v>242</v>
      </c>
      <c r="D50" s="2" t="s">
        <v>23</v>
      </c>
      <c r="E50" s="2" t="s">
        <v>126</v>
      </c>
      <c r="F50" s="2" t="s">
        <v>291</v>
      </c>
      <c r="G50" s="2" t="s">
        <v>292</v>
      </c>
      <c r="H50" s="2" t="s">
        <v>293</v>
      </c>
      <c r="I50" s="2"/>
      <c r="J50" s="2" t="s">
        <v>34</v>
      </c>
      <c r="K50" s="2"/>
      <c r="L50" s="2"/>
      <c r="M50" s="2"/>
    </row>
    <row r="51" spans="1:13" ht="85.05" customHeight="1" x14ac:dyDescent="0.3">
      <c r="A51" s="3" t="s">
        <v>294</v>
      </c>
      <c r="B51" s="3" t="s">
        <v>295</v>
      </c>
      <c r="C51" s="3" t="s">
        <v>242</v>
      </c>
      <c r="D51" s="3" t="s">
        <v>23</v>
      </c>
      <c r="E51" s="3" t="s">
        <v>126</v>
      </c>
      <c r="F51" s="3" t="s">
        <v>296</v>
      </c>
      <c r="G51" s="3" t="s">
        <v>297</v>
      </c>
      <c r="H51" s="3" t="s">
        <v>298</v>
      </c>
      <c r="I51" s="3"/>
      <c r="J51" s="3" t="s">
        <v>34</v>
      </c>
      <c r="K51" s="3"/>
      <c r="L51" s="3"/>
      <c r="M51" s="3"/>
    </row>
    <row r="52" spans="1:13" ht="85.05" customHeight="1" x14ac:dyDescent="0.3">
      <c r="A52" s="2" t="s">
        <v>299</v>
      </c>
      <c r="B52" s="2" t="s">
        <v>300</v>
      </c>
      <c r="C52" s="2" t="s">
        <v>242</v>
      </c>
      <c r="D52" s="2" t="s">
        <v>23</v>
      </c>
      <c r="E52" s="2" t="s">
        <v>126</v>
      </c>
      <c r="F52" s="2" t="s">
        <v>301</v>
      </c>
      <c r="G52" s="2" t="s">
        <v>302</v>
      </c>
      <c r="H52" s="2" t="s">
        <v>303</v>
      </c>
      <c r="I52" s="2"/>
      <c r="J52" s="2" t="s">
        <v>34</v>
      </c>
      <c r="K52" s="2"/>
      <c r="L52" s="2"/>
      <c r="M52" s="2"/>
    </row>
    <row r="53" spans="1:13" ht="85.05" customHeight="1" x14ac:dyDescent="0.3">
      <c r="A53" s="3" t="s">
        <v>304</v>
      </c>
      <c r="B53" s="3" t="s">
        <v>305</v>
      </c>
      <c r="C53" s="3" t="s">
        <v>242</v>
      </c>
      <c r="D53" s="3" t="s">
        <v>23</v>
      </c>
      <c r="E53" s="3" t="s">
        <v>126</v>
      </c>
      <c r="F53" s="3" t="s">
        <v>306</v>
      </c>
      <c r="G53" s="3" t="s">
        <v>307</v>
      </c>
      <c r="H53" s="3" t="s">
        <v>308</v>
      </c>
      <c r="I53" s="3"/>
      <c r="J53" s="3" t="s">
        <v>34</v>
      </c>
      <c r="K53" s="3"/>
      <c r="L53" s="3"/>
      <c r="M53" s="3"/>
    </row>
    <row r="54" spans="1:13" ht="85.05" customHeight="1" x14ac:dyDescent="0.3">
      <c r="A54" s="2" t="s">
        <v>309</v>
      </c>
      <c r="B54" s="2" t="s">
        <v>310</v>
      </c>
      <c r="C54" s="2" t="s">
        <v>242</v>
      </c>
      <c r="D54" s="2" t="s">
        <v>23</v>
      </c>
      <c r="E54" s="2" t="s">
        <v>126</v>
      </c>
      <c r="F54" s="2" t="s">
        <v>311</v>
      </c>
      <c r="G54" s="2" t="s">
        <v>312</v>
      </c>
      <c r="H54" s="2" t="s">
        <v>313</v>
      </c>
      <c r="I54" s="2"/>
      <c r="J54" s="2" t="s">
        <v>34</v>
      </c>
      <c r="K54" s="2"/>
      <c r="L54" s="2"/>
      <c r="M54" s="2"/>
    </row>
    <row r="55" spans="1:13" ht="85.05" customHeight="1" x14ac:dyDescent="0.3">
      <c r="A55" s="3" t="s">
        <v>314</v>
      </c>
      <c r="B55" s="3" t="s">
        <v>315</v>
      </c>
      <c r="C55" s="3" t="s">
        <v>242</v>
      </c>
      <c r="D55" s="3" t="s">
        <v>16</v>
      </c>
      <c r="E55" s="3" t="s">
        <v>208</v>
      </c>
      <c r="F55" s="3" t="s">
        <v>316</v>
      </c>
      <c r="G55" s="3" t="s">
        <v>317</v>
      </c>
      <c r="H55" s="3" t="s">
        <v>318</v>
      </c>
      <c r="I55" s="3"/>
      <c r="J55" s="3" t="s">
        <v>34</v>
      </c>
      <c r="K55" s="3"/>
      <c r="L55" s="3"/>
      <c r="M55" s="3"/>
    </row>
    <row r="56" spans="1:13" ht="85.05" customHeight="1" x14ac:dyDescent="0.3">
      <c r="A56" s="2" t="s">
        <v>319</v>
      </c>
      <c r="B56" s="2" t="s">
        <v>320</v>
      </c>
      <c r="C56" s="2" t="s">
        <v>242</v>
      </c>
      <c r="D56" s="2" t="s">
        <v>23</v>
      </c>
      <c r="E56" s="2" t="s">
        <v>208</v>
      </c>
      <c r="F56" s="2" t="s">
        <v>321</v>
      </c>
      <c r="G56" s="2" t="s">
        <v>322</v>
      </c>
      <c r="H56" s="2" t="s">
        <v>323</v>
      </c>
      <c r="I56" s="2"/>
      <c r="J56" s="2" t="s">
        <v>34</v>
      </c>
      <c r="K56" s="2"/>
      <c r="L56" s="2"/>
      <c r="M56" s="2"/>
    </row>
    <row r="57" spans="1:13" ht="85.05" customHeight="1" x14ac:dyDescent="0.3">
      <c r="A57" s="3" t="s">
        <v>324</v>
      </c>
      <c r="B57" s="3" t="s">
        <v>325</v>
      </c>
      <c r="C57" s="3" t="s">
        <v>242</v>
      </c>
      <c r="D57" s="3" t="s">
        <v>16</v>
      </c>
      <c r="E57" s="3" t="s">
        <v>208</v>
      </c>
      <c r="F57" s="3" t="s">
        <v>326</v>
      </c>
      <c r="G57" s="3" t="s">
        <v>327</v>
      </c>
      <c r="H57" s="3" t="s">
        <v>328</v>
      </c>
      <c r="I57" s="3"/>
      <c r="J57" s="3" t="s">
        <v>34</v>
      </c>
      <c r="K57" s="3"/>
      <c r="L57" s="3"/>
      <c r="M57" s="3"/>
    </row>
    <row r="58" spans="1:13" ht="85.05" customHeight="1" x14ac:dyDescent="0.3">
      <c r="A58" s="2" t="s">
        <v>329</v>
      </c>
      <c r="B58" s="2" t="s">
        <v>330</v>
      </c>
      <c r="C58" s="2" t="s">
        <v>242</v>
      </c>
      <c r="D58" s="2" t="s">
        <v>23</v>
      </c>
      <c r="E58" s="2" t="s">
        <v>331</v>
      </c>
      <c r="F58" s="2" t="s">
        <v>332</v>
      </c>
      <c r="G58" s="2" t="s">
        <v>333</v>
      </c>
      <c r="H58" s="2" t="s">
        <v>334</v>
      </c>
      <c r="I58" s="2"/>
      <c r="J58" s="2" t="s">
        <v>34</v>
      </c>
      <c r="K58" s="2"/>
      <c r="L58" s="2"/>
      <c r="M58" s="2"/>
    </row>
    <row r="59" spans="1:13" ht="85.05" customHeight="1" x14ac:dyDescent="0.3">
      <c r="A59" s="3" t="s">
        <v>335</v>
      </c>
      <c r="B59" s="3" t="s">
        <v>336</v>
      </c>
      <c r="C59" s="3" t="s">
        <v>242</v>
      </c>
      <c r="D59" s="3" t="s">
        <v>42</v>
      </c>
      <c r="E59" s="3" t="s">
        <v>24</v>
      </c>
      <c r="F59" s="3" t="s">
        <v>337</v>
      </c>
      <c r="G59" s="3" t="s">
        <v>338</v>
      </c>
      <c r="H59" s="3" t="s">
        <v>339</v>
      </c>
      <c r="I59" s="3"/>
      <c r="J59" s="3" t="s">
        <v>34</v>
      </c>
      <c r="K59" s="3"/>
      <c r="L59" s="3"/>
      <c r="M59" s="3"/>
    </row>
    <row r="60" spans="1:13" ht="85.05" customHeight="1" x14ac:dyDescent="0.3">
      <c r="A60" s="2" t="s">
        <v>340</v>
      </c>
      <c r="B60" s="2" t="s">
        <v>336</v>
      </c>
      <c r="C60" s="2" t="s">
        <v>242</v>
      </c>
      <c r="D60" s="2" t="s">
        <v>42</v>
      </c>
      <c r="E60" s="2" t="s">
        <v>341</v>
      </c>
      <c r="F60" s="2" t="s">
        <v>138</v>
      </c>
      <c r="G60" s="2" t="s">
        <v>342</v>
      </c>
      <c r="H60" s="2" t="s">
        <v>343</v>
      </c>
      <c r="I60" s="2"/>
      <c r="J60" s="2" t="s">
        <v>34</v>
      </c>
      <c r="K60" s="2"/>
      <c r="L60" s="2"/>
      <c r="M60" s="2"/>
    </row>
    <row r="61" spans="1:13" ht="85.05" customHeight="1" x14ac:dyDescent="0.3">
      <c r="A61" s="3" t="s">
        <v>344</v>
      </c>
      <c r="B61" s="3" t="s">
        <v>336</v>
      </c>
      <c r="C61" s="3" t="s">
        <v>242</v>
      </c>
      <c r="D61" s="3" t="s">
        <v>42</v>
      </c>
      <c r="E61" s="3" t="s">
        <v>208</v>
      </c>
      <c r="F61" s="3" t="s">
        <v>345</v>
      </c>
      <c r="G61" s="3" t="s">
        <v>346</v>
      </c>
      <c r="H61" s="3" t="s">
        <v>347</v>
      </c>
      <c r="I61" s="3"/>
      <c r="J61" s="3" t="s">
        <v>34</v>
      </c>
      <c r="K61" s="3"/>
      <c r="L61" s="3"/>
      <c r="M61" s="3"/>
    </row>
    <row r="62" spans="1:13" ht="85.05" customHeight="1" x14ac:dyDescent="0.3">
      <c r="A62" s="2" t="s">
        <v>348</v>
      </c>
      <c r="B62" s="2" t="s">
        <v>336</v>
      </c>
      <c r="C62" s="2" t="s">
        <v>242</v>
      </c>
      <c r="D62" s="2" t="s">
        <v>42</v>
      </c>
      <c r="E62" s="2" t="s">
        <v>341</v>
      </c>
      <c r="F62" s="2" t="s">
        <v>349</v>
      </c>
      <c r="G62" s="2" t="s">
        <v>350</v>
      </c>
      <c r="H62" s="2" t="s">
        <v>351</v>
      </c>
      <c r="I62" s="2"/>
      <c r="J62" s="2" t="s">
        <v>34</v>
      </c>
      <c r="K62" s="2"/>
      <c r="L62" s="2"/>
      <c r="M62" s="2"/>
    </row>
    <row r="63" spans="1:13" ht="85.05" customHeight="1" x14ac:dyDescent="0.3">
      <c r="A63" s="3" t="s">
        <v>352</v>
      </c>
      <c r="B63" s="3" t="s">
        <v>336</v>
      </c>
      <c r="C63" s="3" t="s">
        <v>242</v>
      </c>
      <c r="D63" s="3" t="s">
        <v>42</v>
      </c>
      <c r="E63" s="3" t="s">
        <v>341</v>
      </c>
      <c r="F63" s="3" t="s">
        <v>353</v>
      </c>
      <c r="G63" s="3" t="s">
        <v>354</v>
      </c>
      <c r="H63" s="3" t="s">
        <v>355</v>
      </c>
      <c r="I63" s="3"/>
      <c r="J63" s="3" t="s">
        <v>34</v>
      </c>
      <c r="K63" s="3"/>
      <c r="L63" s="3"/>
      <c r="M63" s="3"/>
    </row>
    <row r="64" spans="1:13" ht="85.05" customHeight="1" x14ac:dyDescent="0.3">
      <c r="A64" s="2" t="s">
        <v>356</v>
      </c>
      <c r="B64" s="2" t="s">
        <v>336</v>
      </c>
      <c r="C64" s="2" t="s">
        <v>242</v>
      </c>
      <c r="D64" s="2" t="s">
        <v>42</v>
      </c>
      <c r="E64" s="2" t="s">
        <v>341</v>
      </c>
      <c r="F64" s="2" t="s">
        <v>357</v>
      </c>
      <c r="G64" s="2" t="s">
        <v>358</v>
      </c>
      <c r="H64" s="2" t="s">
        <v>359</v>
      </c>
      <c r="I64" s="2"/>
      <c r="J64" s="2" t="s">
        <v>34</v>
      </c>
      <c r="K64" s="2"/>
      <c r="L64" s="2"/>
      <c r="M64" s="2"/>
    </row>
    <row r="65" spans="1:13" ht="85.05" customHeight="1" x14ac:dyDescent="0.3">
      <c r="A65" s="3" t="s">
        <v>360</v>
      </c>
      <c r="B65" s="3" t="s">
        <v>336</v>
      </c>
      <c r="C65" s="3" t="s">
        <v>242</v>
      </c>
      <c r="D65" s="3" t="s">
        <v>42</v>
      </c>
      <c r="E65" s="3" t="s">
        <v>209</v>
      </c>
      <c r="F65" s="3" t="s">
        <v>361</v>
      </c>
      <c r="G65" s="3" t="s">
        <v>362</v>
      </c>
      <c r="H65" s="3" t="s">
        <v>363</v>
      </c>
      <c r="I65" s="3"/>
      <c r="J65" s="3" t="s">
        <v>34</v>
      </c>
      <c r="K65" s="3"/>
      <c r="L65" s="3"/>
      <c r="M65" s="3"/>
    </row>
    <row r="66" spans="1:13" ht="85.05" customHeight="1" x14ac:dyDescent="0.3">
      <c r="A66" s="2" t="s">
        <v>364</v>
      </c>
      <c r="B66" s="2" t="s">
        <v>365</v>
      </c>
      <c r="C66" s="2" t="s">
        <v>242</v>
      </c>
      <c r="D66" s="2" t="s">
        <v>42</v>
      </c>
      <c r="E66" s="2" t="s">
        <v>366</v>
      </c>
      <c r="F66" s="2" t="s">
        <v>138</v>
      </c>
      <c r="G66" s="2" t="s">
        <v>367</v>
      </c>
      <c r="H66" s="2" t="s">
        <v>368</v>
      </c>
      <c r="I66" s="2"/>
      <c r="J66" s="2" t="s">
        <v>34</v>
      </c>
      <c r="K66" s="2"/>
      <c r="L66" s="2"/>
      <c r="M66" s="2"/>
    </row>
    <row r="67" spans="1:13" ht="85.05" customHeight="1" x14ac:dyDescent="0.3">
      <c r="A67" s="3" t="s">
        <v>369</v>
      </c>
      <c r="B67" s="3" t="s">
        <v>365</v>
      </c>
      <c r="C67" s="3" t="s">
        <v>242</v>
      </c>
      <c r="D67" s="3" t="s">
        <v>42</v>
      </c>
      <c r="E67" s="3" t="s">
        <v>366</v>
      </c>
      <c r="F67" s="3" t="s">
        <v>370</v>
      </c>
      <c r="G67" s="3" t="s">
        <v>371</v>
      </c>
      <c r="H67" s="3" t="s">
        <v>372</v>
      </c>
      <c r="I67" s="3"/>
      <c r="J67" s="3" t="s">
        <v>34</v>
      </c>
      <c r="K67" s="3"/>
      <c r="L67" s="3"/>
      <c r="M67" s="3"/>
    </row>
    <row r="68" spans="1:13" ht="85.05" customHeight="1" x14ac:dyDescent="0.3">
      <c r="A68" s="2" t="s">
        <v>373</v>
      </c>
      <c r="B68" s="2" t="s">
        <v>365</v>
      </c>
      <c r="C68" s="2" t="s">
        <v>242</v>
      </c>
      <c r="D68" s="2" t="s">
        <v>42</v>
      </c>
      <c r="E68" s="2" t="s">
        <v>366</v>
      </c>
      <c r="F68" s="2" t="s">
        <v>374</v>
      </c>
      <c r="G68" s="2" t="s">
        <v>375</v>
      </c>
      <c r="H68" s="2" t="s">
        <v>376</v>
      </c>
      <c r="I68" s="2"/>
      <c r="J68" s="2" t="s">
        <v>34</v>
      </c>
      <c r="K68" s="2"/>
      <c r="L68" s="2"/>
      <c r="M68" s="2"/>
    </row>
    <row r="69" spans="1:13" ht="85.05" customHeight="1" x14ac:dyDescent="0.3">
      <c r="A69" s="3" t="s">
        <v>377</v>
      </c>
      <c r="B69" s="3" t="s">
        <v>365</v>
      </c>
      <c r="C69" s="3" t="s">
        <v>242</v>
      </c>
      <c r="D69" s="3" t="s">
        <v>42</v>
      </c>
      <c r="E69" s="3" t="s">
        <v>366</v>
      </c>
      <c r="F69" s="3" t="s">
        <v>378</v>
      </c>
      <c r="G69" s="3" t="s">
        <v>379</v>
      </c>
      <c r="H69" s="3" t="s">
        <v>380</v>
      </c>
      <c r="I69" s="3"/>
      <c r="J69" s="3" t="s">
        <v>34</v>
      </c>
      <c r="K69" s="3"/>
      <c r="L69" s="3"/>
      <c r="M69" s="3"/>
    </row>
    <row r="70" spans="1:13" ht="85.05" customHeight="1" x14ac:dyDescent="0.3">
      <c r="A70" s="2" t="s">
        <v>381</v>
      </c>
      <c r="B70" s="2" t="s">
        <v>365</v>
      </c>
      <c r="C70" s="2" t="s">
        <v>242</v>
      </c>
      <c r="D70" s="2" t="s">
        <v>42</v>
      </c>
      <c r="E70" s="2" t="s">
        <v>366</v>
      </c>
      <c r="F70" s="2" t="s">
        <v>382</v>
      </c>
      <c r="G70" s="2" t="s">
        <v>383</v>
      </c>
      <c r="H70" s="2" t="s">
        <v>384</v>
      </c>
      <c r="I70" s="2"/>
      <c r="J70" s="2" t="s">
        <v>34</v>
      </c>
      <c r="K70" s="2"/>
      <c r="L70" s="2"/>
      <c r="M70" s="2"/>
    </row>
    <row r="71" spans="1:13" ht="85.05" customHeight="1" x14ac:dyDescent="0.3">
      <c r="A71" s="3" t="s">
        <v>385</v>
      </c>
      <c r="B71" s="3" t="s">
        <v>365</v>
      </c>
      <c r="C71" s="3" t="s">
        <v>242</v>
      </c>
      <c r="D71" s="3" t="s">
        <v>42</v>
      </c>
      <c r="E71" s="3" t="s">
        <v>208</v>
      </c>
      <c r="F71" s="3" t="s">
        <v>386</v>
      </c>
      <c r="G71" s="3" t="s">
        <v>387</v>
      </c>
      <c r="H71" s="3" t="s">
        <v>388</v>
      </c>
      <c r="I71" s="3"/>
      <c r="J71" s="3" t="s">
        <v>34</v>
      </c>
      <c r="K71" s="3"/>
      <c r="L71" s="3"/>
      <c r="M71" s="3"/>
    </row>
    <row r="72" spans="1:13" ht="85.05" customHeight="1" x14ac:dyDescent="0.3">
      <c r="A72" s="2" t="s">
        <v>389</v>
      </c>
      <c r="B72" s="2" t="s">
        <v>390</v>
      </c>
      <c r="C72" s="2" t="s">
        <v>242</v>
      </c>
      <c r="D72" s="2" t="s">
        <v>23</v>
      </c>
      <c r="E72" s="2" t="s">
        <v>24</v>
      </c>
      <c r="F72" s="2" t="s">
        <v>391</v>
      </c>
      <c r="G72" s="2" t="s">
        <v>392</v>
      </c>
      <c r="H72" s="2" t="s">
        <v>393</v>
      </c>
      <c r="I72" s="2"/>
      <c r="J72" s="2" t="s">
        <v>34</v>
      </c>
      <c r="K72" s="2"/>
      <c r="L72" s="2"/>
      <c r="M72" s="2"/>
    </row>
    <row r="73" spans="1:13" ht="85.05" customHeight="1" x14ac:dyDescent="0.3">
      <c r="A73" s="3" t="s">
        <v>394</v>
      </c>
      <c r="B73" s="3" t="s">
        <v>390</v>
      </c>
      <c r="C73" s="3" t="s">
        <v>242</v>
      </c>
      <c r="D73" s="3" t="s">
        <v>23</v>
      </c>
      <c r="E73" s="3" t="s">
        <v>395</v>
      </c>
      <c r="F73" s="3" t="s">
        <v>396</v>
      </c>
      <c r="G73" s="3" t="s">
        <v>397</v>
      </c>
      <c r="H73" s="3" t="s">
        <v>398</v>
      </c>
      <c r="I73" s="3"/>
      <c r="J73" s="3" t="s">
        <v>34</v>
      </c>
      <c r="K73" s="3"/>
      <c r="L73" s="3"/>
      <c r="M73" s="3"/>
    </row>
    <row r="74" spans="1:13" ht="85.05" customHeight="1" x14ac:dyDescent="0.3">
      <c r="A74" s="2" t="s">
        <v>399</v>
      </c>
      <c r="B74" s="2" t="s">
        <v>390</v>
      </c>
      <c r="C74" s="2" t="s">
        <v>242</v>
      </c>
      <c r="D74" s="2" t="s">
        <v>23</v>
      </c>
      <c r="E74" s="2" t="s">
        <v>395</v>
      </c>
      <c r="F74" s="2" t="s">
        <v>400</v>
      </c>
      <c r="G74" s="2" t="s">
        <v>401</v>
      </c>
      <c r="H74" s="2" t="s">
        <v>402</v>
      </c>
      <c r="I74" s="2"/>
      <c r="J74" s="2" t="s">
        <v>34</v>
      </c>
      <c r="K74" s="2"/>
      <c r="L74" s="2"/>
      <c r="M74" s="2"/>
    </row>
    <row r="75" spans="1:13" ht="85.05" customHeight="1" x14ac:dyDescent="0.3">
      <c r="A75" s="3" t="s">
        <v>403</v>
      </c>
      <c r="B75" s="3" t="s">
        <v>390</v>
      </c>
      <c r="C75" s="3" t="s">
        <v>242</v>
      </c>
      <c r="D75" s="3" t="s">
        <v>23</v>
      </c>
      <c r="E75" s="3" t="s">
        <v>395</v>
      </c>
      <c r="F75" s="3" t="s">
        <v>404</v>
      </c>
      <c r="G75" s="3" t="s">
        <v>405</v>
      </c>
      <c r="H75" s="3" t="s">
        <v>406</v>
      </c>
      <c r="I75" s="3"/>
      <c r="J75" s="3" t="s">
        <v>34</v>
      </c>
      <c r="K75" s="3"/>
      <c r="L75" s="3"/>
      <c r="M75" s="3"/>
    </row>
    <row r="76" spans="1:13" ht="85.05" customHeight="1" x14ac:dyDescent="0.3">
      <c r="A76" s="2" t="s">
        <v>407</v>
      </c>
      <c r="B76" s="2" t="s">
        <v>390</v>
      </c>
      <c r="C76" s="2" t="s">
        <v>242</v>
      </c>
      <c r="D76" s="2" t="s">
        <v>23</v>
      </c>
      <c r="E76" s="2" t="s">
        <v>395</v>
      </c>
      <c r="F76" s="2" t="s">
        <v>408</v>
      </c>
      <c r="G76" s="2" t="s">
        <v>409</v>
      </c>
      <c r="H76" s="2" t="s">
        <v>410</v>
      </c>
      <c r="I76" s="2"/>
      <c r="J76" s="2" t="s">
        <v>34</v>
      </c>
      <c r="K76" s="2"/>
      <c r="L76" s="2"/>
      <c r="M76" s="2"/>
    </row>
    <row r="77" spans="1:13" ht="85.05" customHeight="1" x14ac:dyDescent="0.3">
      <c r="A77" s="3" t="s">
        <v>411</v>
      </c>
      <c r="B77" s="3" t="s">
        <v>390</v>
      </c>
      <c r="C77" s="3" t="s">
        <v>242</v>
      </c>
      <c r="D77" s="3" t="s">
        <v>23</v>
      </c>
      <c r="E77" s="3" t="s">
        <v>412</v>
      </c>
      <c r="F77" s="3" t="s">
        <v>413</v>
      </c>
      <c r="G77" s="3" t="s">
        <v>414</v>
      </c>
      <c r="H77" s="3" t="s">
        <v>415</v>
      </c>
      <c r="I77" s="3"/>
      <c r="J77" s="3" t="s">
        <v>34</v>
      </c>
      <c r="K77" s="3"/>
      <c r="L77" s="3"/>
      <c r="M77" s="3"/>
    </row>
    <row r="78" spans="1:13" ht="85.05" customHeight="1" x14ac:dyDescent="0.3">
      <c r="A78" s="2" t="s">
        <v>416</v>
      </c>
      <c r="B78" s="2" t="s">
        <v>390</v>
      </c>
      <c r="C78" s="2" t="s">
        <v>242</v>
      </c>
      <c r="D78" s="2" t="s">
        <v>23</v>
      </c>
      <c r="E78" s="2" t="s">
        <v>208</v>
      </c>
      <c r="F78" s="2" t="s">
        <v>417</v>
      </c>
      <c r="G78" s="2" t="s">
        <v>418</v>
      </c>
      <c r="H78" s="2" t="s">
        <v>419</v>
      </c>
      <c r="I78" s="2"/>
      <c r="J78" s="2" t="s">
        <v>34</v>
      </c>
      <c r="K78" s="2"/>
      <c r="L78" s="2"/>
      <c r="M78" s="2"/>
    </row>
    <row r="79" spans="1:13" ht="85.05" customHeight="1" x14ac:dyDescent="0.3">
      <c r="A79" s="3" t="s">
        <v>420</v>
      </c>
      <c r="B79" s="3" t="s">
        <v>390</v>
      </c>
      <c r="C79" s="3" t="s">
        <v>242</v>
      </c>
      <c r="D79" s="3" t="s">
        <v>23</v>
      </c>
      <c r="E79" s="3" t="s">
        <v>421</v>
      </c>
      <c r="F79" s="3" t="s">
        <v>422</v>
      </c>
      <c r="G79" s="3" t="s">
        <v>423</v>
      </c>
      <c r="H79" s="3" t="s">
        <v>424</v>
      </c>
      <c r="I79" s="3"/>
      <c r="J79" s="3" t="s">
        <v>34</v>
      </c>
      <c r="K79" s="3"/>
      <c r="L79" s="3"/>
      <c r="M79" s="3"/>
    </row>
    <row r="80" spans="1:13" ht="85.05" customHeight="1" x14ac:dyDescent="0.3">
      <c r="A80" s="2" t="s">
        <v>425</v>
      </c>
      <c r="B80" s="2" t="s">
        <v>426</v>
      </c>
      <c r="C80" s="2" t="s">
        <v>242</v>
      </c>
      <c r="D80" s="2" t="s">
        <v>23</v>
      </c>
      <c r="E80" s="2" t="s">
        <v>427</v>
      </c>
      <c r="F80" s="2" t="s">
        <v>428</v>
      </c>
      <c r="G80" s="2" t="s">
        <v>429</v>
      </c>
      <c r="H80" s="2" t="s">
        <v>430</v>
      </c>
      <c r="I80" s="2"/>
      <c r="J80" s="2" t="s">
        <v>34</v>
      </c>
      <c r="K80" s="2"/>
      <c r="L80" s="2"/>
      <c r="M80" s="2"/>
    </row>
    <row r="81" spans="1:13" ht="85.05" customHeight="1" x14ac:dyDescent="0.3">
      <c r="A81" s="3" t="s">
        <v>431</v>
      </c>
      <c r="B81" s="3" t="s">
        <v>426</v>
      </c>
      <c r="C81" s="3" t="s">
        <v>242</v>
      </c>
      <c r="D81" s="3" t="s">
        <v>23</v>
      </c>
      <c r="E81" s="3" t="s">
        <v>432</v>
      </c>
      <c r="F81" s="3" t="s">
        <v>433</v>
      </c>
      <c r="G81" s="3" t="s">
        <v>434</v>
      </c>
      <c r="H81" s="3" t="s">
        <v>435</v>
      </c>
      <c r="I81" s="3"/>
      <c r="J81" s="3" t="s">
        <v>34</v>
      </c>
      <c r="K81" s="3"/>
      <c r="L81" s="3"/>
      <c r="M81" s="3"/>
    </row>
    <row r="82" spans="1:13" ht="85.05" customHeight="1" x14ac:dyDescent="0.3">
      <c r="A82" s="2" t="s">
        <v>436</v>
      </c>
      <c r="B82" s="2" t="s">
        <v>426</v>
      </c>
      <c r="C82" s="2" t="s">
        <v>242</v>
      </c>
      <c r="D82" s="2" t="s">
        <v>23</v>
      </c>
      <c r="E82" s="2" t="s">
        <v>437</v>
      </c>
      <c r="F82" s="2" t="s">
        <v>438</v>
      </c>
      <c r="G82" s="2" t="s">
        <v>439</v>
      </c>
      <c r="H82" s="2" t="s">
        <v>440</v>
      </c>
      <c r="I82" s="2"/>
      <c r="J82" s="2" t="s">
        <v>34</v>
      </c>
      <c r="K82" s="2"/>
      <c r="L82" s="2"/>
      <c r="M82" s="2"/>
    </row>
    <row r="83" spans="1:13" ht="85.05" customHeight="1" x14ac:dyDescent="0.3">
      <c r="A83" s="3" t="s">
        <v>441</v>
      </c>
      <c r="B83" s="3" t="s">
        <v>426</v>
      </c>
      <c r="C83" s="3" t="s">
        <v>242</v>
      </c>
      <c r="D83" s="3" t="s">
        <v>23</v>
      </c>
      <c r="E83" s="3" t="s">
        <v>442</v>
      </c>
      <c r="F83" s="3" t="s">
        <v>443</v>
      </c>
      <c r="G83" s="3" t="s">
        <v>444</v>
      </c>
      <c r="H83" s="3" t="s">
        <v>445</v>
      </c>
      <c r="I83" s="3"/>
      <c r="J83" s="3" t="s">
        <v>34</v>
      </c>
      <c r="K83" s="3"/>
      <c r="L83" s="3"/>
      <c r="M83" s="3"/>
    </row>
    <row r="84" spans="1:13" ht="85.05" customHeight="1" x14ac:dyDescent="0.3">
      <c r="A84" s="2" t="s">
        <v>446</v>
      </c>
      <c r="B84" s="2" t="s">
        <v>426</v>
      </c>
      <c r="C84" s="2" t="s">
        <v>242</v>
      </c>
      <c r="D84" s="2" t="s">
        <v>23</v>
      </c>
      <c r="E84" s="2" t="s">
        <v>442</v>
      </c>
      <c r="F84" s="2" t="s">
        <v>447</v>
      </c>
      <c r="G84" s="2" t="s">
        <v>448</v>
      </c>
      <c r="H84" s="2" t="s">
        <v>449</v>
      </c>
      <c r="I84" s="2"/>
      <c r="J84" s="2" t="s">
        <v>34</v>
      </c>
      <c r="K84" s="2"/>
      <c r="L84" s="2"/>
      <c r="M84" s="2"/>
    </row>
    <row r="85" spans="1:13" ht="85.05" customHeight="1" x14ac:dyDescent="0.3">
      <c r="A85" s="3" t="s">
        <v>450</v>
      </c>
      <c r="B85" s="3" t="s">
        <v>451</v>
      </c>
      <c r="C85" s="3" t="s">
        <v>242</v>
      </c>
      <c r="D85" s="3" t="s">
        <v>23</v>
      </c>
      <c r="E85" s="3" t="s">
        <v>452</v>
      </c>
      <c r="F85" s="3" t="s">
        <v>453</v>
      </c>
      <c r="G85" s="3" t="s">
        <v>454</v>
      </c>
      <c r="H85" s="3" t="s">
        <v>455</v>
      </c>
      <c r="I85" s="3"/>
      <c r="J85" s="3" t="s">
        <v>34</v>
      </c>
      <c r="K85" s="3"/>
      <c r="L85" s="3"/>
      <c r="M85" s="3"/>
    </row>
    <row r="86" spans="1:13" ht="85.05" customHeight="1" x14ac:dyDescent="0.3">
      <c r="A86" s="2" t="s">
        <v>456</v>
      </c>
      <c r="B86" s="2" t="s">
        <v>426</v>
      </c>
      <c r="C86" s="2" t="s">
        <v>242</v>
      </c>
      <c r="D86" s="2" t="s">
        <v>23</v>
      </c>
      <c r="E86" s="2" t="s">
        <v>457</v>
      </c>
      <c r="F86" s="2" t="s">
        <v>458</v>
      </c>
      <c r="G86" s="2" t="s">
        <v>459</v>
      </c>
      <c r="H86" s="2" t="s">
        <v>460</v>
      </c>
      <c r="I86" s="2"/>
      <c r="J86" s="2" t="s">
        <v>34</v>
      </c>
      <c r="K86" s="2"/>
      <c r="L86" s="2"/>
      <c r="M86" s="2"/>
    </row>
    <row r="87" spans="1:13" ht="85.05" customHeight="1" x14ac:dyDescent="0.3">
      <c r="A87" s="3" t="s">
        <v>461</v>
      </c>
      <c r="B87" s="3" t="s">
        <v>462</v>
      </c>
      <c r="C87" s="3" t="s">
        <v>242</v>
      </c>
      <c r="D87" s="3" t="s">
        <v>42</v>
      </c>
      <c r="E87" s="3" t="s">
        <v>24</v>
      </c>
      <c r="F87" s="3" t="s">
        <v>463</v>
      </c>
      <c r="G87" s="3" t="s">
        <v>464</v>
      </c>
      <c r="H87" s="3" t="s">
        <v>465</v>
      </c>
      <c r="I87" s="3"/>
      <c r="J87" s="3" t="s">
        <v>34</v>
      </c>
      <c r="K87" s="3"/>
      <c r="L87" s="3"/>
      <c r="M87" s="3"/>
    </row>
    <row r="88" spans="1:13" ht="85.05" customHeight="1" x14ac:dyDescent="0.3">
      <c r="A88" s="2" t="s">
        <v>466</v>
      </c>
      <c r="B88" s="2" t="s">
        <v>467</v>
      </c>
      <c r="C88" s="2" t="s">
        <v>242</v>
      </c>
      <c r="D88" s="2" t="s">
        <v>42</v>
      </c>
      <c r="E88" s="2" t="s">
        <v>468</v>
      </c>
      <c r="F88" s="2" t="s">
        <v>469</v>
      </c>
      <c r="G88" s="2" t="s">
        <v>470</v>
      </c>
      <c r="H88" s="2" t="s">
        <v>471</v>
      </c>
      <c r="I88" s="2"/>
      <c r="J88" s="2" t="s">
        <v>34</v>
      </c>
      <c r="K88" s="2"/>
      <c r="L88" s="2"/>
      <c r="M88" s="2"/>
    </row>
    <row r="89" spans="1:13" ht="85.05" customHeight="1" x14ac:dyDescent="0.3">
      <c r="A89" s="3" t="s">
        <v>472</v>
      </c>
      <c r="B89" s="3" t="s">
        <v>473</v>
      </c>
      <c r="C89" s="3" t="s">
        <v>242</v>
      </c>
      <c r="D89" s="3" t="s">
        <v>42</v>
      </c>
      <c r="E89" s="3" t="s">
        <v>468</v>
      </c>
      <c r="F89" s="3" t="s">
        <v>474</v>
      </c>
      <c r="G89" s="3" t="s">
        <v>475</v>
      </c>
      <c r="H89" s="3" t="s">
        <v>476</v>
      </c>
      <c r="I89" s="3"/>
      <c r="J89" s="3" t="s">
        <v>34</v>
      </c>
      <c r="K89" s="3"/>
      <c r="L89" s="3"/>
      <c r="M89" s="3"/>
    </row>
    <row r="90" spans="1:13" ht="85.05" customHeight="1" x14ac:dyDescent="0.3">
      <c r="A90" s="2" t="s">
        <v>477</v>
      </c>
      <c r="B90" s="2" t="s">
        <v>478</v>
      </c>
      <c r="C90" s="2" t="s">
        <v>478</v>
      </c>
      <c r="D90" s="2" t="s">
        <v>42</v>
      </c>
      <c r="E90" s="2" t="s">
        <v>160</v>
      </c>
      <c r="F90" s="2" t="s">
        <v>479</v>
      </c>
      <c r="G90" s="2" t="s">
        <v>480</v>
      </c>
      <c r="H90" s="2" t="s">
        <v>481</v>
      </c>
      <c r="I90" s="2"/>
      <c r="J90" s="2" t="s">
        <v>34</v>
      </c>
      <c r="K90" s="2"/>
      <c r="L90" s="2"/>
      <c r="M90" s="2"/>
    </row>
    <row r="91" spans="1:13" ht="85.05" customHeight="1" x14ac:dyDescent="0.3">
      <c r="A91" s="3" t="s">
        <v>482</v>
      </c>
      <c r="B91" s="3" t="s">
        <v>478</v>
      </c>
      <c r="C91" s="3" t="s">
        <v>478</v>
      </c>
      <c r="D91" s="3" t="s">
        <v>42</v>
      </c>
      <c r="E91" s="3" t="s">
        <v>160</v>
      </c>
      <c r="F91" s="3" t="s">
        <v>483</v>
      </c>
      <c r="G91" s="3" t="s">
        <v>484</v>
      </c>
      <c r="H91" s="3" t="s">
        <v>485</v>
      </c>
      <c r="I91" s="3"/>
      <c r="J91" s="3" t="s">
        <v>34</v>
      </c>
      <c r="K91" s="3"/>
      <c r="L91" s="3"/>
      <c r="M91" s="3"/>
    </row>
    <row r="92" spans="1:13" ht="85.05" customHeight="1" x14ac:dyDescent="0.3">
      <c r="A92" s="2" t="s">
        <v>486</v>
      </c>
      <c r="B92" s="2" t="s">
        <v>478</v>
      </c>
      <c r="C92" s="2" t="s">
        <v>478</v>
      </c>
      <c r="D92" s="2" t="s">
        <v>42</v>
      </c>
      <c r="E92" s="2" t="s">
        <v>143</v>
      </c>
      <c r="F92" s="2" t="s">
        <v>487</v>
      </c>
      <c r="G92" s="2" t="s">
        <v>488</v>
      </c>
      <c r="H92" s="2" t="s">
        <v>489</v>
      </c>
      <c r="I92" s="2"/>
      <c r="J92" s="2" t="s">
        <v>34</v>
      </c>
      <c r="K92" s="2"/>
      <c r="L92" s="2"/>
      <c r="M92" s="2"/>
    </row>
    <row r="93" spans="1:13" ht="85.05" customHeight="1" x14ac:dyDescent="0.3">
      <c r="A93" s="3" t="s">
        <v>490</v>
      </c>
      <c r="B93" s="3" t="s">
        <v>478</v>
      </c>
      <c r="C93" s="3" t="s">
        <v>478</v>
      </c>
      <c r="D93" s="3" t="s">
        <v>42</v>
      </c>
      <c r="E93" s="3" t="s">
        <v>468</v>
      </c>
      <c r="F93" s="3" t="s">
        <v>491</v>
      </c>
      <c r="G93" s="3" t="s">
        <v>492</v>
      </c>
      <c r="H93" s="3" t="s">
        <v>493</v>
      </c>
      <c r="I93" s="3"/>
      <c r="J93" s="3" t="s">
        <v>34</v>
      </c>
      <c r="K93" s="3"/>
      <c r="L93" s="3"/>
      <c r="M93" s="3"/>
    </row>
    <row r="94" spans="1:13" ht="85.05" customHeight="1" x14ac:dyDescent="0.3">
      <c r="A94" s="2" t="s">
        <v>494</v>
      </c>
      <c r="B94" s="2" t="s">
        <v>478</v>
      </c>
      <c r="C94" s="2" t="s">
        <v>478</v>
      </c>
      <c r="D94" s="2" t="s">
        <v>42</v>
      </c>
      <c r="E94" s="2" t="s">
        <v>160</v>
      </c>
      <c r="F94" s="2" t="s">
        <v>495</v>
      </c>
      <c r="G94" s="2" t="s">
        <v>496</v>
      </c>
      <c r="H94" s="2" t="s">
        <v>497</v>
      </c>
      <c r="I94" s="2"/>
      <c r="J94" s="2" t="s">
        <v>34</v>
      </c>
      <c r="K94" s="2"/>
      <c r="L94" s="2"/>
      <c r="M94" s="2"/>
    </row>
    <row r="95" spans="1:13" ht="85.05" customHeight="1" x14ac:dyDescent="0.3">
      <c r="A95" s="3" t="s">
        <v>498</v>
      </c>
      <c r="B95" s="3" t="s">
        <v>499</v>
      </c>
      <c r="C95" s="3" t="s">
        <v>499</v>
      </c>
      <c r="D95" s="3" t="s">
        <v>23</v>
      </c>
      <c r="E95" s="3" t="s">
        <v>500</v>
      </c>
      <c r="F95" s="3" t="s">
        <v>501</v>
      </c>
      <c r="G95" s="3" t="s">
        <v>502</v>
      </c>
      <c r="H95" s="3" t="s">
        <v>503</v>
      </c>
      <c r="I95" s="3"/>
      <c r="J95" s="3" t="s">
        <v>34</v>
      </c>
      <c r="K95" s="3"/>
      <c r="L95" s="3"/>
      <c r="M95" s="3"/>
    </row>
    <row r="96" spans="1:13" ht="85.05" customHeight="1" x14ac:dyDescent="0.3">
      <c r="A96" s="2" t="s">
        <v>504</v>
      </c>
      <c r="B96" s="2" t="s">
        <v>499</v>
      </c>
      <c r="C96" s="2" t="s">
        <v>499</v>
      </c>
      <c r="D96" s="2" t="s">
        <v>23</v>
      </c>
      <c r="E96" s="2" t="s">
        <v>505</v>
      </c>
      <c r="F96" s="2" t="s">
        <v>506</v>
      </c>
      <c r="G96" s="2" t="s">
        <v>507</v>
      </c>
      <c r="H96" s="2" t="s">
        <v>508</v>
      </c>
      <c r="I96" s="2"/>
      <c r="J96" s="2" t="s">
        <v>34</v>
      </c>
      <c r="K96" s="2"/>
      <c r="L96" s="2"/>
      <c r="M96" s="2"/>
    </row>
    <row r="97" spans="1:13" ht="85.05" customHeight="1" x14ac:dyDescent="0.3">
      <c r="A97" s="3" t="s">
        <v>509</v>
      </c>
      <c r="B97" s="3" t="s">
        <v>499</v>
      </c>
      <c r="C97" s="3" t="s">
        <v>499</v>
      </c>
      <c r="D97" s="3" t="s">
        <v>23</v>
      </c>
      <c r="E97" s="3" t="s">
        <v>510</v>
      </c>
      <c r="F97" s="3" t="s">
        <v>511</v>
      </c>
      <c r="G97" s="3" t="s">
        <v>512</v>
      </c>
      <c r="H97" s="3" t="s">
        <v>513</v>
      </c>
      <c r="I97" s="3"/>
      <c r="J97" s="3" t="s">
        <v>34</v>
      </c>
      <c r="K97" s="3"/>
      <c r="L97" s="3"/>
      <c r="M97" s="3"/>
    </row>
    <row r="98" spans="1:13" ht="85.05" customHeight="1" x14ac:dyDescent="0.3">
      <c r="A98" s="2" t="s">
        <v>514</v>
      </c>
      <c r="B98" s="2" t="s">
        <v>499</v>
      </c>
      <c r="C98" s="2" t="s">
        <v>499</v>
      </c>
      <c r="D98" s="2" t="s">
        <v>23</v>
      </c>
      <c r="E98" s="2" t="s">
        <v>160</v>
      </c>
      <c r="F98" s="2" t="s">
        <v>515</v>
      </c>
      <c r="G98" s="2" t="s">
        <v>516</v>
      </c>
      <c r="H98" s="2" t="s">
        <v>517</v>
      </c>
      <c r="I98" s="2"/>
      <c r="J98" s="2" t="s">
        <v>34</v>
      </c>
      <c r="K98" s="2"/>
      <c r="L98" s="2"/>
      <c r="M98" s="2"/>
    </row>
    <row r="99" spans="1:13" ht="85.05" customHeight="1" x14ac:dyDescent="0.3">
      <c r="A99" s="3" t="s">
        <v>518</v>
      </c>
      <c r="B99" s="3" t="s">
        <v>519</v>
      </c>
      <c r="C99" s="3" t="s">
        <v>519</v>
      </c>
      <c r="D99" s="3" t="s">
        <v>42</v>
      </c>
      <c r="E99" s="3" t="s">
        <v>520</v>
      </c>
      <c r="F99" s="3" t="s">
        <v>521</v>
      </c>
      <c r="G99" s="3" t="s">
        <v>522</v>
      </c>
      <c r="H99" s="3" t="s">
        <v>523</v>
      </c>
      <c r="I99" s="3"/>
      <c r="J99" s="3" t="s">
        <v>34</v>
      </c>
      <c r="K99" s="3"/>
      <c r="L99" s="3"/>
      <c r="M99" s="3"/>
    </row>
    <row r="100" spans="1:13" ht="85.05" customHeight="1" x14ac:dyDescent="0.3">
      <c r="A100" s="2" t="s">
        <v>524</v>
      </c>
      <c r="B100" s="2" t="s">
        <v>519</v>
      </c>
      <c r="C100" s="2" t="s">
        <v>519</v>
      </c>
      <c r="D100" s="2" t="s">
        <v>42</v>
      </c>
      <c r="E100" s="2" t="s">
        <v>160</v>
      </c>
      <c r="F100" s="2" t="s">
        <v>165</v>
      </c>
      <c r="G100" s="2" t="s">
        <v>525</v>
      </c>
      <c r="H100" s="2" t="s">
        <v>526</v>
      </c>
      <c r="I100" s="2"/>
      <c r="J100" s="2" t="s">
        <v>34</v>
      </c>
      <c r="K100" s="2"/>
      <c r="L100" s="2"/>
      <c r="M100" s="2"/>
    </row>
    <row r="101" spans="1:13" ht="85.05" customHeight="1" x14ac:dyDescent="0.3">
      <c r="A101" s="3" t="s">
        <v>527</v>
      </c>
      <c r="B101" s="3" t="s">
        <v>519</v>
      </c>
      <c r="C101" s="3" t="s">
        <v>519</v>
      </c>
      <c r="D101" s="3" t="s">
        <v>42</v>
      </c>
      <c r="E101" s="3" t="s">
        <v>62</v>
      </c>
      <c r="F101" s="3" t="s">
        <v>528</v>
      </c>
      <c r="G101" s="3" t="s">
        <v>122</v>
      </c>
      <c r="H101" s="3" t="s">
        <v>529</v>
      </c>
      <c r="I101" s="3"/>
      <c r="J101" s="3" t="s">
        <v>34</v>
      </c>
      <c r="K101" s="3"/>
      <c r="L101" s="3"/>
      <c r="M101" s="3"/>
    </row>
    <row r="102" spans="1:13" ht="85.05" customHeight="1" x14ac:dyDescent="0.3">
      <c r="A102" s="2" t="s">
        <v>530</v>
      </c>
      <c r="B102" s="2" t="s">
        <v>519</v>
      </c>
      <c r="C102" s="2" t="s">
        <v>519</v>
      </c>
      <c r="D102" s="2" t="s">
        <v>42</v>
      </c>
      <c r="E102" s="2" t="s">
        <v>531</v>
      </c>
      <c r="F102" s="2" t="s">
        <v>532</v>
      </c>
      <c r="G102" s="2" t="s">
        <v>533</v>
      </c>
      <c r="H102" s="2" t="s">
        <v>534</v>
      </c>
      <c r="I102" s="2"/>
      <c r="J102" s="2" t="s">
        <v>34</v>
      </c>
      <c r="K102" s="2"/>
      <c r="L102" s="2"/>
      <c r="M102" s="2"/>
    </row>
  </sheetData>
  <autoFilter ref="A1:M102" xr:uid="{00000000-0009-0000-0000-000000000000}"/>
  <conditionalFormatting sqref="J2:J102">
    <cfRule type="expression" dxfId="3" priority="1">
      <formula>J2="Fail"</formula>
    </cfRule>
    <cfRule type="expression" dxfId="2" priority="2">
      <formula>J2="Pass"</formula>
    </cfRule>
  </conditionalFormatting>
  <dataValidations count="1">
    <dataValidation type="list" allowBlank="1" sqref="J2:J102" xr:uid="{00000000-0002-0000-0000-000000000000}">
      <formula1>"Not Run,Pass,Fail,Blocked,Open,Fixed,Retest Required,Needs Confirmation"</formula1>
    </dataValidation>
  </dataValidations>
  <hyperlinks>
    <hyperlink ref="F2" r:id="rId1" location="smile-studio" xr:uid="{2D68CA5E-C2BC-4977-8D91-77D4EAD8D37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4" customWidth="1"/>
    <col min="4" max="4" width="35" customWidth="1"/>
    <col min="5" max="7" width="48" customWidth="1"/>
    <col min="8" max="8" width="45" customWidth="1"/>
    <col min="9" max="9" width="65" customWidth="1"/>
    <col min="10" max="10" width="48" customWidth="1"/>
    <col min="11" max="11" width="16" customWidth="1"/>
  </cols>
  <sheetData>
    <row r="1" spans="1:11" ht="31.95" customHeight="1" x14ac:dyDescent="0.3">
      <c r="A1" s="1" t="s">
        <v>10</v>
      </c>
      <c r="B1" s="1" t="s">
        <v>535</v>
      </c>
      <c r="C1" s="1" t="s">
        <v>536</v>
      </c>
      <c r="D1" s="1" t="s">
        <v>537</v>
      </c>
      <c r="E1" s="1" t="s">
        <v>538</v>
      </c>
      <c r="F1" s="1" t="s">
        <v>7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</row>
    <row r="2" spans="1:11" ht="105" customHeight="1" x14ac:dyDescent="0.3">
      <c r="A2" s="2" t="s">
        <v>68</v>
      </c>
      <c r="B2" s="4" t="s">
        <v>23</v>
      </c>
      <c r="C2" s="2" t="s">
        <v>60</v>
      </c>
      <c r="D2" s="2" t="s">
        <v>544</v>
      </c>
      <c r="E2" s="2" t="s">
        <v>545</v>
      </c>
      <c r="F2" s="2" t="s">
        <v>546</v>
      </c>
      <c r="G2" s="2" t="s">
        <v>547</v>
      </c>
      <c r="H2" s="2" t="s">
        <v>548</v>
      </c>
      <c r="I2" s="2" t="s">
        <v>549</v>
      </c>
      <c r="J2" s="2" t="s">
        <v>550</v>
      </c>
      <c r="K2" s="2" t="s">
        <v>551</v>
      </c>
    </row>
    <row r="3" spans="1:11" ht="105" customHeight="1" x14ac:dyDescent="0.3">
      <c r="A3" s="3" t="s">
        <v>552</v>
      </c>
      <c r="B3" s="4" t="s">
        <v>23</v>
      </c>
      <c r="C3" s="3" t="s">
        <v>426</v>
      </c>
      <c r="D3" s="3" t="s">
        <v>553</v>
      </c>
      <c r="E3" s="3" t="s">
        <v>554</v>
      </c>
      <c r="F3" s="3" t="s">
        <v>555</v>
      </c>
      <c r="G3" s="3" t="s">
        <v>556</v>
      </c>
      <c r="H3" s="3" t="s">
        <v>557</v>
      </c>
      <c r="I3" s="3" t="s">
        <v>558</v>
      </c>
      <c r="J3" s="3" t="s">
        <v>559</v>
      </c>
      <c r="K3" s="3" t="s">
        <v>551</v>
      </c>
    </row>
    <row r="4" spans="1:11" ht="105" customHeight="1" x14ac:dyDescent="0.3">
      <c r="A4" s="2" t="s">
        <v>560</v>
      </c>
      <c r="B4" s="2" t="s">
        <v>42</v>
      </c>
      <c r="C4" s="2" t="s">
        <v>561</v>
      </c>
      <c r="D4" s="2" t="s">
        <v>562</v>
      </c>
      <c r="E4" s="2" t="s">
        <v>563</v>
      </c>
      <c r="F4" s="2" t="s">
        <v>564</v>
      </c>
      <c r="G4" s="2" t="s">
        <v>556</v>
      </c>
      <c r="H4" s="2" t="s">
        <v>565</v>
      </c>
      <c r="I4" s="2" t="s">
        <v>566</v>
      </c>
      <c r="J4" s="2" t="s">
        <v>567</v>
      </c>
      <c r="K4" s="2" t="s">
        <v>551</v>
      </c>
    </row>
    <row r="5" spans="1:11" ht="105" customHeight="1" x14ac:dyDescent="0.3">
      <c r="A5" s="3" t="s">
        <v>86</v>
      </c>
      <c r="B5" s="4" t="s">
        <v>23</v>
      </c>
      <c r="C5" s="3" t="s">
        <v>568</v>
      </c>
      <c r="D5" s="3" t="s">
        <v>569</v>
      </c>
      <c r="E5" s="3" t="s">
        <v>570</v>
      </c>
      <c r="F5" s="3" t="s">
        <v>571</v>
      </c>
      <c r="G5" s="3" t="s">
        <v>572</v>
      </c>
      <c r="H5" s="3" t="s">
        <v>573</v>
      </c>
      <c r="I5" s="3" t="s">
        <v>574</v>
      </c>
      <c r="J5" s="3" t="s">
        <v>575</v>
      </c>
      <c r="K5" s="3" t="s">
        <v>551</v>
      </c>
    </row>
    <row r="6" spans="1:11" ht="105" customHeight="1" x14ac:dyDescent="0.3">
      <c r="A6" s="2" t="s">
        <v>95</v>
      </c>
      <c r="B6" s="2" t="s">
        <v>42</v>
      </c>
      <c r="C6" s="2" t="s">
        <v>576</v>
      </c>
      <c r="D6" s="2" t="s">
        <v>577</v>
      </c>
      <c r="E6" s="2" t="s">
        <v>578</v>
      </c>
      <c r="F6" s="2" t="s">
        <v>579</v>
      </c>
      <c r="G6" s="2" t="s">
        <v>580</v>
      </c>
      <c r="H6" s="2" t="s">
        <v>581</v>
      </c>
      <c r="I6" s="2" t="s">
        <v>582</v>
      </c>
      <c r="J6" s="2" t="s">
        <v>583</v>
      </c>
      <c r="K6" s="2" t="s">
        <v>551</v>
      </c>
    </row>
    <row r="7" spans="1:11" ht="105" customHeight="1" x14ac:dyDescent="0.3">
      <c r="A7" s="3" t="s">
        <v>584</v>
      </c>
      <c r="B7" s="3" t="s">
        <v>585</v>
      </c>
      <c r="C7" s="3" t="s">
        <v>586</v>
      </c>
      <c r="D7" s="3" t="s">
        <v>587</v>
      </c>
      <c r="E7" s="3" t="s">
        <v>588</v>
      </c>
      <c r="F7" s="3" t="s">
        <v>589</v>
      </c>
      <c r="G7" s="3" t="s">
        <v>590</v>
      </c>
      <c r="H7" s="3" t="s">
        <v>591</v>
      </c>
      <c r="I7" s="3" t="s">
        <v>592</v>
      </c>
      <c r="J7" s="3" t="s">
        <v>593</v>
      </c>
      <c r="K7" s="3" t="s">
        <v>551</v>
      </c>
    </row>
    <row r="8" spans="1:11" ht="105" customHeight="1" x14ac:dyDescent="0.3">
      <c r="A8" s="2" t="s">
        <v>594</v>
      </c>
      <c r="B8" s="2" t="s">
        <v>42</v>
      </c>
      <c r="C8" s="2" t="s">
        <v>467</v>
      </c>
      <c r="D8" s="2" t="s">
        <v>595</v>
      </c>
      <c r="E8" s="2" t="s">
        <v>596</v>
      </c>
      <c r="F8" s="2" t="s">
        <v>597</v>
      </c>
      <c r="G8" s="2" t="s">
        <v>598</v>
      </c>
      <c r="H8" s="2" t="s">
        <v>599</v>
      </c>
      <c r="I8" s="2" t="s">
        <v>600</v>
      </c>
      <c r="J8" s="2" t="s">
        <v>601</v>
      </c>
      <c r="K8" s="2" t="s">
        <v>602</v>
      </c>
    </row>
  </sheetData>
  <autoFilter ref="A1:K8" xr:uid="{00000000-0009-0000-0000-000001000000}"/>
  <dataValidations count="1">
    <dataValidation type="list" allowBlank="1" sqref="K2:K8" xr:uid="{00000000-0002-0000-0100-000000000000}">
      <formula1>"Not Run,Pass,Fail,Blocked,Open,Fixed,Retest Required,Needs Confirmation"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1" width="34" customWidth="1"/>
    <col min="2" max="2" width="100" customWidth="1"/>
  </cols>
  <sheetData>
    <row r="1" spans="1:2" ht="31.95" customHeight="1" x14ac:dyDescent="0.3">
      <c r="A1" s="5" t="s">
        <v>603</v>
      </c>
      <c r="B1" s="6" t="s">
        <v>604</v>
      </c>
    </row>
    <row r="2" spans="1:2" ht="31.95" customHeight="1" x14ac:dyDescent="0.3">
      <c r="A2" s="7" t="s">
        <v>605</v>
      </c>
      <c r="B2" s="11" t="s">
        <v>771</v>
      </c>
    </row>
    <row r="3" spans="1:2" ht="31.95" customHeight="1" x14ac:dyDescent="0.3">
      <c r="A3" s="7" t="s">
        <v>606</v>
      </c>
      <c r="B3" s="12" t="s">
        <v>607</v>
      </c>
    </row>
    <row r="4" spans="1:2" ht="31.95" customHeight="1" x14ac:dyDescent="0.3">
      <c r="A4" s="7" t="s">
        <v>608</v>
      </c>
      <c r="B4" s="2" t="s">
        <v>609</v>
      </c>
    </row>
    <row r="5" spans="1:2" ht="31.95" customHeight="1" x14ac:dyDescent="0.3">
      <c r="A5" s="7" t="s">
        <v>610</v>
      </c>
      <c r="B5" s="3" t="s">
        <v>611</v>
      </c>
    </row>
    <row r="6" spans="1:2" ht="31.95" customHeight="1" x14ac:dyDescent="0.3">
      <c r="A6" s="7" t="s">
        <v>612</v>
      </c>
      <c r="B6" s="2" t="s">
        <v>613</v>
      </c>
    </row>
    <row r="7" spans="1:2" ht="31.95" customHeight="1" x14ac:dyDescent="0.3">
      <c r="A7" s="7" t="s">
        <v>614</v>
      </c>
      <c r="B7" s="3">
        <f>COUNTA('All Test Cases'!A2:A102)</f>
        <v>101</v>
      </c>
    </row>
    <row r="8" spans="1:2" ht="31.95" customHeight="1" x14ac:dyDescent="0.3">
      <c r="A8" s="7" t="s">
        <v>615</v>
      </c>
      <c r="B8" s="2">
        <f>COUNTIF('All Test Cases'!J:J,"Pass")</f>
        <v>3</v>
      </c>
    </row>
    <row r="9" spans="1:2" ht="31.95" customHeight="1" x14ac:dyDescent="0.3">
      <c r="A9" s="7" t="s">
        <v>616</v>
      </c>
      <c r="B9" s="3">
        <f>COUNTIF('All Test Cases'!J:J,"Fail")</f>
        <v>4</v>
      </c>
    </row>
    <row r="10" spans="1:2" ht="31.95" customHeight="1" x14ac:dyDescent="0.3">
      <c r="A10" s="7" t="s">
        <v>617</v>
      </c>
      <c r="B10" s="2">
        <f>COUNTIF('All Test Cases'!J:J,"Not Run")</f>
        <v>94</v>
      </c>
    </row>
    <row r="11" spans="1:2" ht="31.95" customHeight="1" x14ac:dyDescent="0.3">
      <c r="A11" s="7" t="s">
        <v>618</v>
      </c>
      <c r="B11" s="3">
        <f>COUNTA('Bugs and Fixes'!A2:A8)</f>
        <v>7</v>
      </c>
    </row>
    <row r="12" spans="1:2" ht="31.95" customHeight="1" x14ac:dyDescent="0.3">
      <c r="A12" s="7" t="s">
        <v>619</v>
      </c>
      <c r="B12" s="2" t="s">
        <v>620</v>
      </c>
    </row>
    <row r="13" spans="1:2" ht="31.95" customHeight="1" x14ac:dyDescent="0.3">
      <c r="A13" s="7" t="s">
        <v>621</v>
      </c>
      <c r="B13" s="3" t="s">
        <v>622</v>
      </c>
    </row>
    <row r="15" spans="1:2" ht="34.049999999999997" customHeight="1" x14ac:dyDescent="0.3">
      <c r="A15" s="10" t="s">
        <v>623</v>
      </c>
      <c r="B15" s="9" t="s">
        <v>624</v>
      </c>
    </row>
    <row r="16" spans="1:2" ht="34.049999999999997" customHeight="1" x14ac:dyDescent="0.3">
      <c r="A16" s="10" t="s">
        <v>625</v>
      </c>
      <c r="B16" s="9" t="s">
        <v>626</v>
      </c>
    </row>
  </sheetData>
  <autoFilter ref="A1:B13" xr:uid="{00000000-0009-0000-0000-000002000000}"/>
  <hyperlinks>
    <hyperlink ref="B2" r:id="rId1" location="team" xr:uid="{B444307C-9824-4CCB-84E6-840A31871CD6}"/>
    <hyperlink ref="B3" r:id="rId2" location="smile-studio" xr:uid="{47D1AE75-8DCD-420F-BBBE-4654B6DCE04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4" customWidth="1"/>
    <col min="3" max="3" width="65" customWidth="1"/>
    <col min="4" max="4" width="60" customWidth="1"/>
    <col min="5" max="5" width="16" customWidth="1"/>
    <col min="6" max="6" width="18" customWidth="1"/>
    <col min="7" max="7" width="40" customWidth="1"/>
  </cols>
  <sheetData>
    <row r="1" spans="1:7" ht="31.95" customHeight="1" x14ac:dyDescent="0.3">
      <c r="A1" s="1" t="s">
        <v>627</v>
      </c>
      <c r="B1" s="1" t="s">
        <v>628</v>
      </c>
      <c r="C1" s="1" t="s">
        <v>629</v>
      </c>
      <c r="D1" s="1" t="s">
        <v>7</v>
      </c>
      <c r="E1" s="1" t="s">
        <v>630</v>
      </c>
      <c r="F1" s="1" t="s">
        <v>10</v>
      </c>
      <c r="G1" s="1" t="s">
        <v>631</v>
      </c>
    </row>
    <row r="2" spans="1:7" ht="64.95" customHeight="1" x14ac:dyDescent="0.3">
      <c r="A2" s="2" t="s">
        <v>632</v>
      </c>
      <c r="B2" s="2" t="s">
        <v>633</v>
      </c>
      <c r="C2" s="2" t="s">
        <v>634</v>
      </c>
      <c r="D2" s="2" t="s">
        <v>635</v>
      </c>
      <c r="E2" s="2" t="s">
        <v>34</v>
      </c>
      <c r="F2" s="2"/>
      <c r="G2" s="2"/>
    </row>
    <row r="3" spans="1:7" ht="64.95" customHeight="1" x14ac:dyDescent="0.3">
      <c r="A3" s="3" t="s">
        <v>636</v>
      </c>
      <c r="B3" s="3" t="s">
        <v>637</v>
      </c>
      <c r="C3" s="3" t="s">
        <v>638</v>
      </c>
      <c r="D3" s="3" t="s">
        <v>639</v>
      </c>
      <c r="E3" s="3" t="s">
        <v>34</v>
      </c>
      <c r="F3" s="3"/>
      <c r="G3" s="3"/>
    </row>
    <row r="4" spans="1:7" ht="64.95" customHeight="1" x14ac:dyDescent="0.3">
      <c r="A4" s="2" t="s">
        <v>640</v>
      </c>
      <c r="B4" s="2" t="s">
        <v>60</v>
      </c>
      <c r="C4" s="2" t="s">
        <v>641</v>
      </c>
      <c r="D4" s="2" t="s">
        <v>642</v>
      </c>
      <c r="E4" s="2" t="s">
        <v>67</v>
      </c>
      <c r="F4" s="2" t="s">
        <v>68</v>
      </c>
      <c r="G4" s="2" t="s">
        <v>643</v>
      </c>
    </row>
    <row r="5" spans="1:7" ht="64.95" customHeight="1" x14ac:dyDescent="0.3">
      <c r="A5" s="3" t="s">
        <v>644</v>
      </c>
      <c r="B5" s="3" t="s">
        <v>71</v>
      </c>
      <c r="C5" s="3" t="s">
        <v>645</v>
      </c>
      <c r="D5" s="3" t="s">
        <v>646</v>
      </c>
      <c r="E5" s="3" t="s">
        <v>67</v>
      </c>
      <c r="F5" s="3" t="s">
        <v>77</v>
      </c>
      <c r="G5" s="3" t="s">
        <v>647</v>
      </c>
    </row>
    <row r="6" spans="1:7" ht="64.95" customHeight="1" x14ac:dyDescent="0.3">
      <c r="A6" s="2" t="s">
        <v>648</v>
      </c>
      <c r="B6" s="2" t="s">
        <v>649</v>
      </c>
      <c r="C6" s="2" t="s">
        <v>650</v>
      </c>
      <c r="D6" s="2" t="s">
        <v>651</v>
      </c>
      <c r="E6" s="2" t="s">
        <v>21</v>
      </c>
      <c r="F6" s="2"/>
      <c r="G6" s="2" t="s">
        <v>652</v>
      </c>
    </row>
    <row r="7" spans="1:7" ht="64.95" customHeight="1" x14ac:dyDescent="0.3">
      <c r="A7" s="3" t="s">
        <v>653</v>
      </c>
      <c r="B7" s="3" t="s">
        <v>654</v>
      </c>
      <c r="C7" s="3" t="s">
        <v>655</v>
      </c>
      <c r="D7" s="3" t="s">
        <v>656</v>
      </c>
      <c r="E7" s="3" t="s">
        <v>34</v>
      </c>
      <c r="F7" s="3" t="s">
        <v>95</v>
      </c>
      <c r="G7" s="3" t="s">
        <v>657</v>
      </c>
    </row>
    <row r="8" spans="1:7" ht="64.95" customHeight="1" x14ac:dyDescent="0.3">
      <c r="A8" s="2" t="s">
        <v>658</v>
      </c>
      <c r="B8" s="2" t="s">
        <v>659</v>
      </c>
      <c r="C8" s="2" t="s">
        <v>660</v>
      </c>
      <c r="D8" s="2" t="s">
        <v>661</v>
      </c>
      <c r="E8" s="2" t="s">
        <v>34</v>
      </c>
      <c r="F8" s="2"/>
      <c r="G8" s="2"/>
    </row>
    <row r="9" spans="1:7" ht="64.95" customHeight="1" x14ac:dyDescent="0.3">
      <c r="A9" s="3" t="s">
        <v>662</v>
      </c>
      <c r="B9" s="3" t="s">
        <v>663</v>
      </c>
      <c r="C9" s="3" t="s">
        <v>664</v>
      </c>
      <c r="D9" s="3" t="s">
        <v>665</v>
      </c>
      <c r="E9" s="3" t="s">
        <v>34</v>
      </c>
      <c r="F9" s="3" t="s">
        <v>86</v>
      </c>
      <c r="G9" s="3" t="s">
        <v>666</v>
      </c>
    </row>
    <row r="10" spans="1:7" ht="64.95" customHeight="1" x14ac:dyDescent="0.3">
      <c r="A10" s="2" t="s">
        <v>667</v>
      </c>
      <c r="B10" s="2" t="s">
        <v>426</v>
      </c>
      <c r="C10" s="2" t="s">
        <v>668</v>
      </c>
      <c r="D10" s="2" t="s">
        <v>669</v>
      </c>
      <c r="E10" s="2" t="s">
        <v>34</v>
      </c>
      <c r="F10" s="2" t="s">
        <v>670</v>
      </c>
      <c r="G10" s="2" t="s">
        <v>671</v>
      </c>
    </row>
    <row r="11" spans="1:7" ht="64.95" customHeight="1" x14ac:dyDescent="0.3">
      <c r="A11" s="3" t="s">
        <v>672</v>
      </c>
      <c r="B11" s="3" t="s">
        <v>478</v>
      </c>
      <c r="C11" s="3" t="s">
        <v>673</v>
      </c>
      <c r="D11" s="3" t="s">
        <v>674</v>
      </c>
      <c r="E11" s="3" t="s">
        <v>34</v>
      </c>
      <c r="F11" s="3"/>
      <c r="G11" s="3"/>
    </row>
    <row r="12" spans="1:7" ht="64.95" customHeight="1" x14ac:dyDescent="0.3">
      <c r="A12" s="2" t="s">
        <v>675</v>
      </c>
      <c r="B12" s="2" t="s">
        <v>676</v>
      </c>
      <c r="C12" s="2" t="s">
        <v>677</v>
      </c>
      <c r="D12" s="2" t="s">
        <v>678</v>
      </c>
      <c r="E12" s="2" t="s">
        <v>34</v>
      </c>
      <c r="F12" s="2"/>
      <c r="G12" s="2"/>
    </row>
    <row r="13" spans="1:7" ht="64.95" customHeight="1" x14ac:dyDescent="0.3">
      <c r="A13" s="3" t="s">
        <v>679</v>
      </c>
      <c r="B13" s="3" t="s">
        <v>680</v>
      </c>
      <c r="C13" s="3" t="s">
        <v>681</v>
      </c>
      <c r="D13" s="3" t="s">
        <v>682</v>
      </c>
      <c r="E13" s="3" t="s">
        <v>34</v>
      </c>
      <c r="F13" s="3"/>
      <c r="G13" s="3"/>
    </row>
  </sheetData>
  <autoFilter ref="A1:G13" xr:uid="{00000000-0009-0000-0000-000003000000}"/>
  <conditionalFormatting sqref="E2:E13">
    <cfRule type="expression" dxfId="1" priority="1">
      <formula>E2="Fail"</formula>
    </cfRule>
    <cfRule type="expression" dxfId="0" priority="2">
      <formula>E2="Pass"</formula>
    </cfRule>
  </conditionalFormatting>
  <dataValidations count="1">
    <dataValidation type="list" allowBlank="1" sqref="E2:E13" xr:uid="{00000000-0002-0000-0300-000000000000}">
      <formula1>"Not Run,Pass,Fail,Blocked,Open,Fixed,Retest Required,Needs Confirmation"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9"/>
  <sheetViews>
    <sheetView showGridLines="0" workbookViewId="0">
      <selection activeCell="B9" sqref="B9"/>
    </sheetView>
  </sheetViews>
  <sheetFormatPr defaultRowHeight="14.4" x14ac:dyDescent="0.3"/>
  <cols>
    <col min="1" max="1" width="28" customWidth="1"/>
    <col min="2" max="2" width="120" customWidth="1"/>
  </cols>
  <sheetData>
    <row r="2" spans="1:2" ht="42" customHeight="1" x14ac:dyDescent="0.3">
      <c r="A2" s="8" t="s">
        <v>683</v>
      </c>
      <c r="B2" s="9" t="s">
        <v>684</v>
      </c>
    </row>
    <row r="3" spans="1:2" ht="42" customHeight="1" x14ac:dyDescent="0.3">
      <c r="A3" s="8" t="s">
        <v>685</v>
      </c>
      <c r="B3" s="9" t="s">
        <v>686</v>
      </c>
    </row>
    <row r="4" spans="1:2" ht="42" customHeight="1" x14ac:dyDescent="0.3">
      <c r="A4" s="8" t="s">
        <v>687</v>
      </c>
      <c r="B4" s="9" t="s">
        <v>688</v>
      </c>
    </row>
    <row r="5" spans="1:2" ht="42" customHeight="1" x14ac:dyDescent="0.3">
      <c r="A5" s="8" t="s">
        <v>689</v>
      </c>
      <c r="B5" s="9" t="s">
        <v>690</v>
      </c>
    </row>
    <row r="6" spans="1:2" ht="42" customHeight="1" x14ac:dyDescent="0.3">
      <c r="A6" s="8" t="s">
        <v>691</v>
      </c>
      <c r="B6" s="9" t="s">
        <v>692</v>
      </c>
    </row>
    <row r="7" spans="1:2" ht="42" customHeight="1" x14ac:dyDescent="0.3">
      <c r="A7" s="8" t="s">
        <v>693</v>
      </c>
      <c r="B7" s="9" t="s">
        <v>694</v>
      </c>
    </row>
    <row r="8" spans="1:2" ht="42" customHeight="1" x14ac:dyDescent="0.3">
      <c r="A8" s="8" t="s">
        <v>695</v>
      </c>
      <c r="B8" s="9" t="s">
        <v>696</v>
      </c>
    </row>
    <row r="9" spans="1:2" ht="42" customHeight="1" x14ac:dyDescent="0.3">
      <c r="A9" s="8" t="s">
        <v>697</v>
      </c>
      <c r="B9" s="9" t="s">
        <v>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20" customWidth="1"/>
    <col min="3" max="3" width="48" customWidth="1"/>
    <col min="4" max="5" width="70" customWidth="1"/>
    <col min="6" max="6" width="26" customWidth="1"/>
  </cols>
  <sheetData>
    <row r="1" spans="1:6" ht="34.049999999999997" customHeight="1" x14ac:dyDescent="0.3">
      <c r="A1" s="1" t="s">
        <v>699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</row>
    <row r="2" spans="1:6" ht="67.95" customHeight="1" x14ac:dyDescent="0.3">
      <c r="A2" s="2" t="s">
        <v>705</v>
      </c>
      <c r="B2" s="2" t="s">
        <v>706</v>
      </c>
      <c r="C2" s="2" t="s">
        <v>707</v>
      </c>
      <c r="D2" s="2" t="s">
        <v>708</v>
      </c>
      <c r="E2" s="2" t="s">
        <v>709</v>
      </c>
      <c r="F2" s="2" t="s">
        <v>685</v>
      </c>
    </row>
    <row r="3" spans="1:6" ht="67.95" customHeight="1" x14ac:dyDescent="0.3">
      <c r="A3" s="3" t="s">
        <v>710</v>
      </c>
      <c r="B3" s="3" t="s">
        <v>706</v>
      </c>
      <c r="C3" s="3" t="s">
        <v>711</v>
      </c>
      <c r="D3" s="3" t="s">
        <v>712</v>
      </c>
      <c r="E3" s="3" t="s">
        <v>713</v>
      </c>
      <c r="F3" s="3" t="s">
        <v>685</v>
      </c>
    </row>
    <row r="4" spans="1:6" ht="67.95" customHeight="1" x14ac:dyDescent="0.3">
      <c r="A4" s="2" t="s">
        <v>714</v>
      </c>
      <c r="B4" s="2" t="s">
        <v>706</v>
      </c>
      <c r="C4" s="2" t="s">
        <v>715</v>
      </c>
      <c r="D4" s="2" t="s">
        <v>716</v>
      </c>
      <c r="E4" s="2" t="s">
        <v>717</v>
      </c>
      <c r="F4" s="2" t="s">
        <v>685</v>
      </c>
    </row>
    <row r="5" spans="1:6" ht="67.95" customHeight="1" x14ac:dyDescent="0.3">
      <c r="A5" s="3" t="s">
        <v>718</v>
      </c>
      <c r="B5" s="3" t="s">
        <v>706</v>
      </c>
      <c r="C5" s="3" t="s">
        <v>719</v>
      </c>
      <c r="D5" s="3" t="s">
        <v>720</v>
      </c>
      <c r="E5" s="3" t="s">
        <v>721</v>
      </c>
      <c r="F5" s="3" t="s">
        <v>685</v>
      </c>
    </row>
    <row r="6" spans="1:6" ht="67.95" customHeight="1" x14ac:dyDescent="0.3">
      <c r="A6" s="2" t="s">
        <v>722</v>
      </c>
      <c r="B6" s="2" t="s">
        <v>706</v>
      </c>
      <c r="C6" s="2" t="s">
        <v>723</v>
      </c>
      <c r="D6" s="2" t="s">
        <v>724</v>
      </c>
      <c r="E6" s="2" t="s">
        <v>725</v>
      </c>
      <c r="F6" s="2" t="s">
        <v>685</v>
      </c>
    </row>
    <row r="7" spans="1:6" ht="67.95" customHeight="1" x14ac:dyDescent="0.3">
      <c r="A7" s="3" t="s">
        <v>726</v>
      </c>
      <c r="B7" s="3" t="s">
        <v>706</v>
      </c>
      <c r="C7" s="3" t="s">
        <v>727</v>
      </c>
      <c r="D7" s="3" t="s">
        <v>728</v>
      </c>
      <c r="E7" s="3" t="s">
        <v>729</v>
      </c>
      <c r="F7" s="3" t="s">
        <v>689</v>
      </c>
    </row>
    <row r="8" spans="1:6" ht="67.95" customHeight="1" x14ac:dyDescent="0.3">
      <c r="A8" s="2" t="s">
        <v>730</v>
      </c>
      <c r="B8" s="2" t="s">
        <v>706</v>
      </c>
      <c r="C8" s="2" t="s">
        <v>731</v>
      </c>
      <c r="D8" s="2" t="s">
        <v>732</v>
      </c>
      <c r="E8" s="2" t="s">
        <v>733</v>
      </c>
      <c r="F8" s="2" t="s">
        <v>685</v>
      </c>
    </row>
    <row r="9" spans="1:6" ht="67.95" customHeight="1" x14ac:dyDescent="0.3">
      <c r="A9" s="3" t="s">
        <v>734</v>
      </c>
      <c r="B9" s="3" t="s">
        <v>706</v>
      </c>
      <c r="C9" s="3" t="s">
        <v>735</v>
      </c>
      <c r="D9" s="3" t="s">
        <v>736</v>
      </c>
      <c r="E9" s="3" t="s">
        <v>737</v>
      </c>
      <c r="F9" s="3" t="s">
        <v>685</v>
      </c>
    </row>
    <row r="10" spans="1:6" ht="67.95" customHeight="1" x14ac:dyDescent="0.3">
      <c r="A10" s="2" t="s">
        <v>738</v>
      </c>
      <c r="B10" s="2" t="s">
        <v>706</v>
      </c>
      <c r="C10" s="2" t="s">
        <v>739</v>
      </c>
      <c r="D10" s="2" t="s">
        <v>740</v>
      </c>
      <c r="E10" s="2" t="s">
        <v>741</v>
      </c>
      <c r="F10" s="2" t="s">
        <v>685</v>
      </c>
    </row>
    <row r="11" spans="1:6" ht="67.95" customHeight="1" x14ac:dyDescent="0.3">
      <c r="A11" s="3" t="s">
        <v>742</v>
      </c>
      <c r="B11" s="3" t="s">
        <v>706</v>
      </c>
      <c r="C11" s="3" t="s">
        <v>743</v>
      </c>
      <c r="D11" s="3" t="s">
        <v>744</v>
      </c>
      <c r="E11" s="3" t="s">
        <v>745</v>
      </c>
      <c r="F11" s="3" t="s">
        <v>685</v>
      </c>
    </row>
    <row r="12" spans="1:6" ht="67.95" customHeight="1" x14ac:dyDescent="0.3">
      <c r="A12" s="2" t="s">
        <v>746</v>
      </c>
      <c r="B12" s="2" t="s">
        <v>706</v>
      </c>
      <c r="C12" s="2" t="s">
        <v>747</v>
      </c>
      <c r="D12" s="2" t="s">
        <v>748</v>
      </c>
      <c r="E12" s="2" t="s">
        <v>749</v>
      </c>
      <c r="F12" s="2" t="s">
        <v>685</v>
      </c>
    </row>
    <row r="13" spans="1:6" ht="67.95" customHeight="1" x14ac:dyDescent="0.3">
      <c r="A13" s="3" t="s">
        <v>750</v>
      </c>
      <c r="B13" s="3" t="s">
        <v>706</v>
      </c>
      <c r="C13" s="3" t="s">
        <v>751</v>
      </c>
      <c r="D13" s="3" t="s">
        <v>752</v>
      </c>
      <c r="E13" s="3" t="s">
        <v>753</v>
      </c>
      <c r="F13" s="3" t="s">
        <v>685</v>
      </c>
    </row>
    <row r="14" spans="1:6" ht="67.95" customHeight="1" x14ac:dyDescent="0.3">
      <c r="A14" s="2" t="s">
        <v>754</v>
      </c>
      <c r="B14" s="2" t="s">
        <v>706</v>
      </c>
      <c r="C14" s="2" t="s">
        <v>755</v>
      </c>
      <c r="D14" s="2" t="s">
        <v>756</v>
      </c>
      <c r="E14" s="2" t="s">
        <v>757</v>
      </c>
      <c r="F14" s="2" t="s">
        <v>685</v>
      </c>
    </row>
    <row r="15" spans="1:6" ht="67.95" customHeight="1" x14ac:dyDescent="0.3">
      <c r="A15" s="3" t="s">
        <v>758</v>
      </c>
      <c r="B15" s="3" t="s">
        <v>706</v>
      </c>
      <c r="C15" s="3" t="s">
        <v>759</v>
      </c>
      <c r="D15" s="3" t="s">
        <v>760</v>
      </c>
      <c r="E15" s="3" t="s">
        <v>761</v>
      </c>
      <c r="F15" s="3" t="s">
        <v>762</v>
      </c>
    </row>
    <row r="16" spans="1:6" ht="67.95" customHeight="1" x14ac:dyDescent="0.3">
      <c r="A16" s="2" t="s">
        <v>763</v>
      </c>
      <c r="B16" s="2" t="s">
        <v>706</v>
      </c>
      <c r="C16" s="2" t="s">
        <v>764</v>
      </c>
      <c r="D16" s="2" t="s">
        <v>765</v>
      </c>
      <c r="E16" s="2" t="s">
        <v>766</v>
      </c>
      <c r="F16" s="2" t="s">
        <v>685</v>
      </c>
    </row>
    <row r="17" spans="1:6" ht="67.95" customHeight="1" x14ac:dyDescent="0.3">
      <c r="A17" s="3" t="s">
        <v>767</v>
      </c>
      <c r="B17" s="3" t="s">
        <v>706</v>
      </c>
      <c r="C17" s="3" t="s">
        <v>768</v>
      </c>
      <c r="D17" s="3" t="s">
        <v>769</v>
      </c>
      <c r="E17" s="3" t="s">
        <v>770</v>
      </c>
      <c r="F17" s="3" t="s">
        <v>685</v>
      </c>
    </row>
  </sheetData>
  <autoFilter ref="A1:F1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Test Cases</vt:lpstr>
      <vt:lpstr>Bugs and Fixes</vt:lpstr>
      <vt:lpstr>Summary</vt:lpstr>
      <vt:lpstr>Regression Suite</vt:lpstr>
      <vt:lpstr>How to Use</vt:lpstr>
      <vt:lpstr>Testing Types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2026-09-11T07:55:10Z</dcterms:created>
  <dcterms:modified xsi:type="dcterms:W3CDTF">2026-09-11T10:09:41Z</dcterms:modified>
</cp:coreProperties>
</file>